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YandexDisk\Карты раскроя\"/>
    </mc:Choice>
  </mc:AlternateContent>
  <xr:revisionPtr revIDLastSave="0" documentId="13_ncr:1_{D7A0C8FA-22EB-47DF-820A-08C741EC600B}" xr6:coauthVersionLast="47" xr6:coauthVersionMax="47" xr10:uidLastSave="{00000000-0000-0000-0000-000000000000}"/>
  <bookViews>
    <workbookView xWindow="-98" yWindow="-98" windowWidth="23236" windowHeight="13875" tabRatio="768" firstSheet="2" activeTab="2" xr2:uid="{00000000-000D-0000-FFFF-FFFF00000000}"/>
  </bookViews>
  <sheets>
    <sheet name="Базис" sheetId="11" state="hidden" r:id="rId1"/>
    <sheet name="KDT2" sheetId="10" state="hidden" r:id="rId2"/>
    <sheet name="Список деталей" sheetId="1" r:id="rId3"/>
    <sheet name="Справочник" sheetId="2" state="hidden" r:id="rId4"/>
    <sheet name="Площадь и кромка" sheetId="6" state="hidden" r:id="rId5"/>
    <sheet name="Cuttung2" sheetId="5" state="hidden" r:id="rId6"/>
    <sheet name="Описание" sheetId="3" state="veryHidden" r:id="rId7"/>
  </sheets>
  <definedNames>
    <definedName name="_xlnm._FilterDatabase" localSheetId="2" hidden="1">'Список деталей'!$C$8:$E$9</definedName>
    <definedName name="кромка">Справочник!$K$4:$L$20</definedName>
    <definedName name="назКромки">Справочник!$K$4:$K$20</definedName>
    <definedName name="обозначениКромки">Справочник!$A$4:$D$20</definedName>
    <definedName name="прифуговка">Справочник!$L$4:$L$20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" i="1" l="1" a="1"/>
  <c r="AB1" i="1" s="1"/>
  <c r="C19" i="3"/>
  <c r="B19" i="3"/>
  <c r="G16" i="3"/>
  <c r="C99" i="5"/>
  <c r="B99" i="5"/>
  <c r="A99" i="5" s="1"/>
  <c r="C98" i="5"/>
  <c r="B98" i="5"/>
  <c r="A98" i="5" s="1"/>
  <c r="C97" i="5"/>
  <c r="B97" i="5"/>
  <c r="A97" i="5" s="1"/>
  <c r="C96" i="5"/>
  <c r="B96" i="5"/>
  <c r="A96" i="5" s="1"/>
  <c r="C95" i="5"/>
  <c r="B95" i="5"/>
  <c r="A95" i="5" s="1"/>
  <c r="C94" i="5"/>
  <c r="B94" i="5"/>
  <c r="A94" i="5" s="1"/>
  <c r="C93" i="5"/>
  <c r="B93" i="5"/>
  <c r="A93" i="5" s="1"/>
  <c r="C92" i="5"/>
  <c r="B92" i="5"/>
  <c r="A92" i="5" s="1"/>
  <c r="C91" i="5"/>
  <c r="B91" i="5"/>
  <c r="A91" i="5" s="1"/>
  <c r="C90" i="5"/>
  <c r="B90" i="5"/>
  <c r="A90" i="5" s="1"/>
  <c r="C89" i="5"/>
  <c r="B89" i="5"/>
  <c r="A89" i="5" s="1"/>
  <c r="C88" i="5"/>
  <c r="B88" i="5"/>
  <c r="A88" i="5" s="1"/>
  <c r="C87" i="5"/>
  <c r="B87" i="5"/>
  <c r="A87" i="5" s="1"/>
  <c r="C86" i="5"/>
  <c r="B86" i="5"/>
  <c r="A86" i="5" s="1"/>
  <c r="C85" i="5"/>
  <c r="B85" i="5"/>
  <c r="A85" i="5" s="1"/>
  <c r="C84" i="5"/>
  <c r="B84" i="5"/>
  <c r="A84" i="5" s="1"/>
  <c r="C83" i="5"/>
  <c r="B83" i="5"/>
  <c r="A83" i="5" s="1"/>
  <c r="C82" i="5"/>
  <c r="B82" i="5"/>
  <c r="A82" i="5" s="1"/>
  <c r="C81" i="5"/>
  <c r="B81" i="5"/>
  <c r="A81" i="5" s="1"/>
  <c r="C80" i="5"/>
  <c r="B80" i="5"/>
  <c r="A80" i="5" s="1"/>
  <c r="C79" i="5"/>
  <c r="B79" i="5"/>
  <c r="A79" i="5" s="1"/>
  <c r="C78" i="5"/>
  <c r="B78" i="5"/>
  <c r="A78" i="5" s="1"/>
  <c r="C77" i="5"/>
  <c r="B77" i="5"/>
  <c r="A77" i="5" s="1"/>
  <c r="C76" i="5"/>
  <c r="B76" i="5"/>
  <c r="A76" i="5" s="1"/>
  <c r="C75" i="5"/>
  <c r="B75" i="5"/>
  <c r="A75" i="5" s="1"/>
  <c r="C74" i="5"/>
  <c r="B74" i="5"/>
  <c r="A74" i="5" s="1"/>
  <c r="C73" i="5"/>
  <c r="B73" i="5"/>
  <c r="A73" i="5" s="1"/>
  <c r="C72" i="5"/>
  <c r="B72" i="5"/>
  <c r="A72" i="5" s="1"/>
  <c r="C71" i="5"/>
  <c r="B71" i="5"/>
  <c r="A71" i="5" s="1"/>
  <c r="C70" i="5"/>
  <c r="B70" i="5"/>
  <c r="A70" i="5" s="1"/>
  <c r="C69" i="5"/>
  <c r="B69" i="5"/>
  <c r="A69" i="5" s="1"/>
  <c r="C68" i="5"/>
  <c r="B68" i="5"/>
  <c r="A68" i="5" s="1"/>
  <c r="C67" i="5"/>
  <c r="B67" i="5"/>
  <c r="A67" i="5" s="1"/>
  <c r="C66" i="5"/>
  <c r="B66" i="5"/>
  <c r="A66" i="5" s="1"/>
  <c r="C65" i="5"/>
  <c r="B65" i="5"/>
  <c r="A65" i="5" s="1"/>
  <c r="C64" i="5"/>
  <c r="B64" i="5"/>
  <c r="A64" i="5" s="1"/>
  <c r="C63" i="5"/>
  <c r="B63" i="5"/>
  <c r="A63" i="5" s="1"/>
  <c r="C62" i="5"/>
  <c r="B62" i="5"/>
  <c r="A62" i="5" s="1"/>
  <c r="C61" i="5"/>
  <c r="B61" i="5"/>
  <c r="A61" i="5" s="1"/>
  <c r="C60" i="5"/>
  <c r="B60" i="5"/>
  <c r="A60" i="5" s="1"/>
  <c r="C59" i="5"/>
  <c r="B59" i="5"/>
  <c r="A59" i="5" s="1"/>
  <c r="C58" i="5"/>
  <c r="B58" i="5"/>
  <c r="A58" i="5" s="1"/>
  <c r="C57" i="5"/>
  <c r="B57" i="5"/>
  <c r="A57" i="5" s="1"/>
  <c r="C56" i="5"/>
  <c r="B56" i="5"/>
  <c r="A56" i="5" s="1"/>
  <c r="C55" i="5"/>
  <c r="B55" i="5"/>
  <c r="A55" i="5" s="1"/>
  <c r="C54" i="5"/>
  <c r="B54" i="5"/>
  <c r="A54" i="5" s="1"/>
  <c r="C53" i="5"/>
  <c r="B53" i="5"/>
  <c r="A53" i="5" s="1"/>
  <c r="C52" i="5"/>
  <c r="B52" i="5"/>
  <c r="A52" i="5" s="1"/>
  <c r="C51" i="5"/>
  <c r="B51" i="5"/>
  <c r="A51" i="5" s="1"/>
  <c r="C50" i="5"/>
  <c r="B50" i="5"/>
  <c r="A50" i="5" s="1"/>
  <c r="C49" i="5"/>
  <c r="B49" i="5"/>
  <c r="A49" i="5" s="1"/>
  <c r="C48" i="5"/>
  <c r="B48" i="5"/>
  <c r="A48" i="5" s="1"/>
  <c r="C47" i="5"/>
  <c r="B47" i="5"/>
  <c r="A47" i="5" s="1"/>
  <c r="C46" i="5"/>
  <c r="B46" i="5"/>
  <c r="A46" i="5" s="1"/>
  <c r="C45" i="5"/>
  <c r="B45" i="5"/>
  <c r="A45" i="5" s="1"/>
  <c r="C44" i="5"/>
  <c r="B44" i="5"/>
  <c r="A44" i="5" s="1"/>
  <c r="C43" i="5"/>
  <c r="B43" i="5"/>
  <c r="A43" i="5" s="1"/>
  <c r="C42" i="5"/>
  <c r="B42" i="5"/>
  <c r="A42" i="5" s="1"/>
  <c r="C41" i="5"/>
  <c r="B41" i="5"/>
  <c r="A41" i="5" s="1"/>
  <c r="C40" i="5"/>
  <c r="B40" i="5"/>
  <c r="A40" i="5" s="1"/>
  <c r="C39" i="5"/>
  <c r="B39" i="5"/>
  <c r="A39" i="5" s="1"/>
  <c r="C38" i="5"/>
  <c r="B38" i="5"/>
  <c r="A38" i="5" s="1"/>
  <c r="C37" i="5"/>
  <c r="B37" i="5"/>
  <c r="A37" i="5" s="1"/>
  <c r="C36" i="5"/>
  <c r="B36" i="5"/>
  <c r="A36" i="5" s="1"/>
  <c r="C35" i="5"/>
  <c r="B35" i="5"/>
  <c r="A35" i="5" s="1"/>
  <c r="C34" i="5"/>
  <c r="B34" i="5"/>
  <c r="A34" i="5" s="1"/>
  <c r="C33" i="5"/>
  <c r="B33" i="5"/>
  <c r="A33" i="5" s="1"/>
  <c r="C32" i="5"/>
  <c r="B32" i="5"/>
  <c r="A32" i="5" s="1"/>
  <c r="C31" i="5"/>
  <c r="B31" i="5"/>
  <c r="A31" i="5" s="1"/>
  <c r="C30" i="5"/>
  <c r="B30" i="5"/>
  <c r="A30" i="5" s="1"/>
  <c r="C29" i="5"/>
  <c r="B29" i="5"/>
  <c r="A29" i="5" s="1"/>
  <c r="C28" i="5"/>
  <c r="B28" i="5"/>
  <c r="A28" i="5" s="1"/>
  <c r="C27" i="5"/>
  <c r="B27" i="5"/>
  <c r="A27" i="5" s="1"/>
  <c r="C26" i="5"/>
  <c r="B26" i="5"/>
  <c r="A26" i="5" s="1"/>
  <c r="C25" i="5"/>
  <c r="B25" i="5"/>
  <c r="A25" i="5" s="1"/>
  <c r="C24" i="5"/>
  <c r="B24" i="5"/>
  <c r="A24" i="5" s="1"/>
  <c r="C23" i="5"/>
  <c r="B23" i="5"/>
  <c r="A23" i="5" s="1"/>
  <c r="C22" i="5"/>
  <c r="B22" i="5"/>
  <c r="A22" i="5" s="1"/>
  <c r="C21" i="5"/>
  <c r="B21" i="5"/>
  <c r="A21" i="5" s="1"/>
  <c r="C20" i="5"/>
  <c r="B20" i="5"/>
  <c r="A20" i="5" s="1"/>
  <c r="C19" i="5"/>
  <c r="B19" i="5"/>
  <c r="A19" i="5" s="1"/>
  <c r="C18" i="5"/>
  <c r="B18" i="5"/>
  <c r="A18" i="5" s="1"/>
  <c r="C17" i="5"/>
  <c r="B17" i="5"/>
  <c r="A17" i="5" s="1"/>
  <c r="C16" i="5"/>
  <c r="B16" i="5"/>
  <c r="A16" i="5" s="1"/>
  <c r="C15" i="5"/>
  <c r="B15" i="5"/>
  <c r="A15" i="5" s="1"/>
  <c r="C14" i="5"/>
  <c r="B14" i="5"/>
  <c r="A14" i="5" s="1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C1" i="5"/>
  <c r="B1" i="5"/>
  <c r="I13" i="6"/>
  <c r="H13" i="6"/>
  <c r="I12" i="6"/>
  <c r="H12" i="6"/>
  <c r="I11" i="6"/>
  <c r="H11" i="6"/>
  <c r="I10" i="6"/>
  <c r="H10" i="6"/>
  <c r="I9" i="6"/>
  <c r="H9" i="6"/>
  <c r="H6" i="6"/>
  <c r="H4" i="6"/>
  <c r="H3" i="6"/>
  <c r="H2" i="6"/>
  <c r="W194" i="1"/>
  <c r="V194" i="1"/>
  <c r="U194" i="1"/>
  <c r="T194" i="1"/>
  <c r="S194" i="1"/>
  <c r="R194" i="1"/>
  <c r="Q194" i="1"/>
  <c r="P194" i="1"/>
  <c r="O194" i="1"/>
  <c r="N194" i="1"/>
  <c r="M194" i="1"/>
  <c r="W193" i="1"/>
  <c r="V193" i="1"/>
  <c r="U193" i="1"/>
  <c r="T193" i="1"/>
  <c r="S193" i="1"/>
  <c r="R193" i="1"/>
  <c r="Q193" i="1"/>
  <c r="P193" i="1"/>
  <c r="O193" i="1"/>
  <c r="N193" i="1"/>
  <c r="M193" i="1"/>
  <c r="W192" i="1"/>
  <c r="V192" i="1"/>
  <c r="U192" i="1"/>
  <c r="T192" i="1"/>
  <c r="S192" i="1"/>
  <c r="R192" i="1"/>
  <c r="Q192" i="1"/>
  <c r="P192" i="1"/>
  <c r="O192" i="1"/>
  <c r="N192" i="1"/>
  <c r="M192" i="1"/>
  <c r="W191" i="1"/>
  <c r="V191" i="1"/>
  <c r="U191" i="1"/>
  <c r="T191" i="1"/>
  <c r="S191" i="1"/>
  <c r="R191" i="1"/>
  <c r="Q191" i="1"/>
  <c r="P191" i="1"/>
  <c r="O191" i="1"/>
  <c r="N191" i="1"/>
  <c r="M191" i="1"/>
  <c r="W190" i="1"/>
  <c r="V190" i="1"/>
  <c r="U190" i="1"/>
  <c r="T190" i="1"/>
  <c r="S190" i="1"/>
  <c r="R190" i="1"/>
  <c r="Q190" i="1"/>
  <c r="P190" i="1"/>
  <c r="O190" i="1"/>
  <c r="N190" i="1"/>
  <c r="M190" i="1"/>
  <c r="W189" i="1"/>
  <c r="V189" i="1"/>
  <c r="U189" i="1"/>
  <c r="T189" i="1"/>
  <c r="S189" i="1"/>
  <c r="R189" i="1"/>
  <c r="Q189" i="1"/>
  <c r="P189" i="1"/>
  <c r="O189" i="1"/>
  <c r="N189" i="1"/>
  <c r="M189" i="1"/>
  <c r="W188" i="1"/>
  <c r="V188" i="1"/>
  <c r="U188" i="1"/>
  <c r="T188" i="1"/>
  <c r="S188" i="1"/>
  <c r="R188" i="1"/>
  <c r="Q188" i="1"/>
  <c r="P188" i="1"/>
  <c r="O188" i="1"/>
  <c r="N188" i="1"/>
  <c r="M188" i="1"/>
  <c r="W187" i="1"/>
  <c r="V187" i="1"/>
  <c r="U187" i="1"/>
  <c r="T187" i="1"/>
  <c r="S187" i="1"/>
  <c r="R187" i="1"/>
  <c r="Q187" i="1"/>
  <c r="P187" i="1"/>
  <c r="O187" i="1"/>
  <c r="N187" i="1"/>
  <c r="M187" i="1"/>
  <c r="W186" i="1"/>
  <c r="V186" i="1"/>
  <c r="U186" i="1"/>
  <c r="T186" i="1"/>
  <c r="S186" i="1"/>
  <c r="R186" i="1"/>
  <c r="Q186" i="1"/>
  <c r="P186" i="1"/>
  <c r="O186" i="1"/>
  <c r="N186" i="1"/>
  <c r="M186" i="1"/>
  <c r="W185" i="1"/>
  <c r="V185" i="1"/>
  <c r="U185" i="1"/>
  <c r="T185" i="1"/>
  <c r="S185" i="1"/>
  <c r="R185" i="1"/>
  <c r="Q185" i="1"/>
  <c r="P185" i="1"/>
  <c r="O185" i="1"/>
  <c r="N185" i="1"/>
  <c r="M185" i="1"/>
  <c r="W184" i="1"/>
  <c r="V184" i="1"/>
  <c r="U184" i="1"/>
  <c r="T184" i="1"/>
  <c r="S184" i="1"/>
  <c r="R184" i="1"/>
  <c r="Q184" i="1"/>
  <c r="P184" i="1"/>
  <c r="O184" i="1"/>
  <c r="N184" i="1"/>
  <c r="M184" i="1"/>
  <c r="W183" i="1"/>
  <c r="V183" i="1"/>
  <c r="U183" i="1"/>
  <c r="T183" i="1"/>
  <c r="S183" i="1"/>
  <c r="R183" i="1"/>
  <c r="Q183" i="1"/>
  <c r="P183" i="1"/>
  <c r="O183" i="1"/>
  <c r="N183" i="1"/>
  <c r="M183" i="1"/>
  <c r="W182" i="1"/>
  <c r="V182" i="1"/>
  <c r="U182" i="1"/>
  <c r="T182" i="1"/>
  <c r="S182" i="1"/>
  <c r="R182" i="1"/>
  <c r="Q182" i="1"/>
  <c r="P182" i="1"/>
  <c r="O182" i="1"/>
  <c r="N182" i="1"/>
  <c r="M182" i="1"/>
  <c r="W181" i="1"/>
  <c r="V181" i="1"/>
  <c r="U181" i="1"/>
  <c r="T181" i="1"/>
  <c r="S181" i="1"/>
  <c r="R181" i="1"/>
  <c r="Q181" i="1"/>
  <c r="P181" i="1"/>
  <c r="O181" i="1"/>
  <c r="N181" i="1"/>
  <c r="M181" i="1"/>
  <c r="W180" i="1"/>
  <c r="V180" i="1"/>
  <c r="U180" i="1"/>
  <c r="T180" i="1"/>
  <c r="S180" i="1"/>
  <c r="R180" i="1"/>
  <c r="Q180" i="1"/>
  <c r="P180" i="1"/>
  <c r="O180" i="1"/>
  <c r="N180" i="1"/>
  <c r="M180" i="1"/>
  <c r="W179" i="1"/>
  <c r="V179" i="1"/>
  <c r="U179" i="1"/>
  <c r="T179" i="1"/>
  <c r="S179" i="1"/>
  <c r="R179" i="1"/>
  <c r="Q179" i="1"/>
  <c r="P179" i="1"/>
  <c r="O179" i="1"/>
  <c r="N179" i="1"/>
  <c r="M179" i="1"/>
  <c r="W178" i="1"/>
  <c r="V178" i="1"/>
  <c r="U178" i="1"/>
  <c r="T178" i="1"/>
  <c r="S178" i="1"/>
  <c r="R178" i="1"/>
  <c r="Q178" i="1"/>
  <c r="P178" i="1"/>
  <c r="O178" i="1"/>
  <c r="N178" i="1"/>
  <c r="M178" i="1"/>
  <c r="W177" i="1"/>
  <c r="V177" i="1"/>
  <c r="U177" i="1"/>
  <c r="T177" i="1"/>
  <c r="S177" i="1"/>
  <c r="R177" i="1"/>
  <c r="Q177" i="1"/>
  <c r="P177" i="1"/>
  <c r="O177" i="1"/>
  <c r="N177" i="1"/>
  <c r="M177" i="1"/>
  <c r="W176" i="1"/>
  <c r="V176" i="1"/>
  <c r="U176" i="1"/>
  <c r="T176" i="1"/>
  <c r="S176" i="1"/>
  <c r="R176" i="1"/>
  <c r="Q176" i="1"/>
  <c r="P176" i="1"/>
  <c r="O176" i="1"/>
  <c r="N176" i="1"/>
  <c r="M176" i="1"/>
  <c r="W175" i="1"/>
  <c r="V175" i="1"/>
  <c r="U175" i="1"/>
  <c r="T175" i="1"/>
  <c r="S175" i="1"/>
  <c r="R175" i="1"/>
  <c r="Q175" i="1"/>
  <c r="P175" i="1"/>
  <c r="O175" i="1"/>
  <c r="N175" i="1"/>
  <c r="M175" i="1"/>
  <c r="W174" i="1"/>
  <c r="V174" i="1"/>
  <c r="U174" i="1"/>
  <c r="T174" i="1"/>
  <c r="S174" i="1"/>
  <c r="R174" i="1"/>
  <c r="Q174" i="1"/>
  <c r="P174" i="1"/>
  <c r="O174" i="1"/>
  <c r="N174" i="1"/>
  <c r="M174" i="1"/>
  <c r="W173" i="1"/>
  <c r="V173" i="1"/>
  <c r="U173" i="1"/>
  <c r="T173" i="1"/>
  <c r="S173" i="1"/>
  <c r="R173" i="1"/>
  <c r="Q173" i="1"/>
  <c r="P173" i="1"/>
  <c r="O173" i="1"/>
  <c r="N173" i="1"/>
  <c r="M173" i="1"/>
  <c r="W172" i="1"/>
  <c r="V172" i="1"/>
  <c r="U172" i="1"/>
  <c r="T172" i="1"/>
  <c r="S172" i="1"/>
  <c r="R172" i="1"/>
  <c r="Q172" i="1"/>
  <c r="P172" i="1"/>
  <c r="O172" i="1"/>
  <c r="N172" i="1"/>
  <c r="M172" i="1"/>
  <c r="W171" i="1"/>
  <c r="V171" i="1"/>
  <c r="U171" i="1"/>
  <c r="T171" i="1"/>
  <c r="S171" i="1"/>
  <c r="R171" i="1"/>
  <c r="Q171" i="1"/>
  <c r="P171" i="1"/>
  <c r="O171" i="1"/>
  <c r="N171" i="1"/>
  <c r="M171" i="1"/>
  <c r="W170" i="1"/>
  <c r="V170" i="1"/>
  <c r="U170" i="1"/>
  <c r="T170" i="1"/>
  <c r="S170" i="1"/>
  <c r="R170" i="1"/>
  <c r="Q170" i="1"/>
  <c r="P170" i="1"/>
  <c r="O170" i="1"/>
  <c r="N170" i="1"/>
  <c r="M170" i="1"/>
  <c r="W169" i="1"/>
  <c r="V169" i="1"/>
  <c r="U169" i="1"/>
  <c r="T169" i="1"/>
  <c r="S169" i="1"/>
  <c r="R169" i="1"/>
  <c r="Q169" i="1"/>
  <c r="P169" i="1"/>
  <c r="O169" i="1"/>
  <c r="N169" i="1"/>
  <c r="M169" i="1"/>
  <c r="W168" i="1"/>
  <c r="V168" i="1"/>
  <c r="U168" i="1"/>
  <c r="T168" i="1"/>
  <c r="S168" i="1"/>
  <c r="R168" i="1"/>
  <c r="Q168" i="1"/>
  <c r="P168" i="1"/>
  <c r="O168" i="1"/>
  <c r="N168" i="1"/>
  <c r="M168" i="1"/>
  <c r="W167" i="1"/>
  <c r="V167" i="1"/>
  <c r="U167" i="1"/>
  <c r="T167" i="1"/>
  <c r="S167" i="1"/>
  <c r="R167" i="1"/>
  <c r="Q167" i="1"/>
  <c r="P167" i="1"/>
  <c r="O167" i="1"/>
  <c r="N167" i="1"/>
  <c r="M167" i="1"/>
  <c r="W166" i="1"/>
  <c r="V166" i="1"/>
  <c r="U166" i="1"/>
  <c r="T166" i="1"/>
  <c r="S166" i="1"/>
  <c r="R166" i="1"/>
  <c r="Q166" i="1"/>
  <c r="P166" i="1"/>
  <c r="O166" i="1"/>
  <c r="N166" i="1"/>
  <c r="M166" i="1"/>
  <c r="W165" i="1"/>
  <c r="V165" i="1"/>
  <c r="U165" i="1"/>
  <c r="T165" i="1"/>
  <c r="S165" i="1"/>
  <c r="R165" i="1"/>
  <c r="Q165" i="1"/>
  <c r="P165" i="1"/>
  <c r="O165" i="1"/>
  <c r="N165" i="1"/>
  <c r="M165" i="1"/>
  <c r="W164" i="1"/>
  <c r="V164" i="1"/>
  <c r="U164" i="1"/>
  <c r="T164" i="1"/>
  <c r="S164" i="1"/>
  <c r="R164" i="1"/>
  <c r="Q164" i="1"/>
  <c r="P164" i="1"/>
  <c r="O164" i="1"/>
  <c r="N164" i="1"/>
  <c r="M164" i="1"/>
  <c r="W163" i="1"/>
  <c r="V163" i="1"/>
  <c r="U163" i="1"/>
  <c r="T163" i="1"/>
  <c r="S163" i="1"/>
  <c r="R163" i="1"/>
  <c r="Q163" i="1"/>
  <c r="P163" i="1"/>
  <c r="O163" i="1"/>
  <c r="N163" i="1"/>
  <c r="M163" i="1"/>
  <c r="W162" i="1"/>
  <c r="V162" i="1"/>
  <c r="U162" i="1"/>
  <c r="T162" i="1"/>
  <c r="S162" i="1"/>
  <c r="R162" i="1"/>
  <c r="Q162" i="1"/>
  <c r="P162" i="1"/>
  <c r="O162" i="1"/>
  <c r="N162" i="1"/>
  <c r="M162" i="1"/>
  <c r="W161" i="1"/>
  <c r="V161" i="1"/>
  <c r="U161" i="1"/>
  <c r="T161" i="1"/>
  <c r="S161" i="1"/>
  <c r="R161" i="1"/>
  <c r="Q161" i="1"/>
  <c r="P161" i="1"/>
  <c r="O161" i="1"/>
  <c r="N161" i="1"/>
  <c r="M161" i="1"/>
  <c r="W160" i="1"/>
  <c r="V160" i="1"/>
  <c r="U160" i="1"/>
  <c r="T160" i="1"/>
  <c r="S160" i="1"/>
  <c r="R160" i="1"/>
  <c r="Q160" i="1"/>
  <c r="P160" i="1"/>
  <c r="O160" i="1"/>
  <c r="N160" i="1"/>
  <c r="M160" i="1"/>
  <c r="W159" i="1"/>
  <c r="V159" i="1"/>
  <c r="U159" i="1"/>
  <c r="T159" i="1"/>
  <c r="S159" i="1"/>
  <c r="R159" i="1"/>
  <c r="Q159" i="1"/>
  <c r="P159" i="1"/>
  <c r="O159" i="1"/>
  <c r="N159" i="1"/>
  <c r="M159" i="1"/>
  <c r="W158" i="1"/>
  <c r="V158" i="1"/>
  <c r="U158" i="1"/>
  <c r="T158" i="1"/>
  <c r="S158" i="1"/>
  <c r="R158" i="1"/>
  <c r="Q158" i="1"/>
  <c r="P158" i="1"/>
  <c r="O158" i="1"/>
  <c r="N158" i="1"/>
  <c r="M158" i="1"/>
  <c r="W157" i="1"/>
  <c r="V157" i="1"/>
  <c r="U157" i="1"/>
  <c r="T157" i="1"/>
  <c r="S157" i="1"/>
  <c r="R157" i="1"/>
  <c r="Q157" i="1"/>
  <c r="P157" i="1"/>
  <c r="O157" i="1"/>
  <c r="N157" i="1"/>
  <c r="M157" i="1"/>
  <c r="W156" i="1"/>
  <c r="V156" i="1"/>
  <c r="U156" i="1"/>
  <c r="T156" i="1"/>
  <c r="S156" i="1"/>
  <c r="R156" i="1"/>
  <c r="Q156" i="1"/>
  <c r="P156" i="1"/>
  <c r="O156" i="1"/>
  <c r="N156" i="1"/>
  <c r="M156" i="1"/>
  <c r="W155" i="1"/>
  <c r="V155" i="1"/>
  <c r="U155" i="1"/>
  <c r="T155" i="1"/>
  <c r="S155" i="1"/>
  <c r="R155" i="1"/>
  <c r="Q155" i="1"/>
  <c r="P155" i="1"/>
  <c r="O155" i="1"/>
  <c r="N155" i="1"/>
  <c r="M155" i="1"/>
  <c r="W154" i="1"/>
  <c r="V154" i="1"/>
  <c r="U154" i="1"/>
  <c r="T154" i="1"/>
  <c r="S154" i="1"/>
  <c r="R154" i="1"/>
  <c r="Q154" i="1"/>
  <c r="P154" i="1"/>
  <c r="O154" i="1"/>
  <c r="N154" i="1"/>
  <c r="M154" i="1"/>
  <c r="W153" i="1"/>
  <c r="V153" i="1"/>
  <c r="U153" i="1"/>
  <c r="T153" i="1"/>
  <c r="S153" i="1"/>
  <c r="R153" i="1"/>
  <c r="Q153" i="1"/>
  <c r="P153" i="1"/>
  <c r="O153" i="1"/>
  <c r="N153" i="1"/>
  <c r="M153" i="1"/>
  <c r="W152" i="1"/>
  <c r="V152" i="1"/>
  <c r="U152" i="1"/>
  <c r="T152" i="1"/>
  <c r="S152" i="1"/>
  <c r="R152" i="1"/>
  <c r="Q152" i="1"/>
  <c r="P152" i="1"/>
  <c r="O152" i="1"/>
  <c r="N152" i="1"/>
  <c r="M152" i="1"/>
  <c r="W151" i="1"/>
  <c r="V151" i="1"/>
  <c r="U151" i="1"/>
  <c r="T151" i="1"/>
  <c r="S151" i="1"/>
  <c r="R151" i="1"/>
  <c r="Q151" i="1"/>
  <c r="P151" i="1"/>
  <c r="O151" i="1"/>
  <c r="N151" i="1"/>
  <c r="M151" i="1"/>
  <c r="W150" i="1"/>
  <c r="V150" i="1"/>
  <c r="U150" i="1"/>
  <c r="T150" i="1"/>
  <c r="S150" i="1"/>
  <c r="R150" i="1"/>
  <c r="Q150" i="1"/>
  <c r="P150" i="1"/>
  <c r="O150" i="1"/>
  <c r="N150" i="1"/>
  <c r="M150" i="1"/>
  <c r="W149" i="1"/>
  <c r="V149" i="1"/>
  <c r="U149" i="1"/>
  <c r="T149" i="1"/>
  <c r="S149" i="1"/>
  <c r="R149" i="1"/>
  <c r="Q149" i="1"/>
  <c r="P149" i="1"/>
  <c r="O149" i="1"/>
  <c r="N149" i="1"/>
  <c r="M149" i="1"/>
  <c r="W148" i="1"/>
  <c r="V148" i="1"/>
  <c r="U148" i="1"/>
  <c r="T148" i="1"/>
  <c r="S148" i="1"/>
  <c r="R148" i="1"/>
  <c r="Q148" i="1"/>
  <c r="P148" i="1"/>
  <c r="O148" i="1"/>
  <c r="N148" i="1"/>
  <c r="M148" i="1"/>
  <c r="W147" i="1"/>
  <c r="V147" i="1"/>
  <c r="U147" i="1"/>
  <c r="T147" i="1"/>
  <c r="S147" i="1"/>
  <c r="R147" i="1"/>
  <c r="Q147" i="1"/>
  <c r="P147" i="1"/>
  <c r="O147" i="1"/>
  <c r="N147" i="1"/>
  <c r="M147" i="1"/>
  <c r="W146" i="1"/>
  <c r="V146" i="1"/>
  <c r="U146" i="1"/>
  <c r="T146" i="1"/>
  <c r="S146" i="1"/>
  <c r="R146" i="1"/>
  <c r="Q146" i="1"/>
  <c r="P146" i="1"/>
  <c r="O146" i="1"/>
  <c r="N146" i="1"/>
  <c r="M146" i="1"/>
  <c r="W145" i="1"/>
  <c r="V145" i="1"/>
  <c r="U145" i="1"/>
  <c r="T145" i="1"/>
  <c r="S145" i="1"/>
  <c r="R145" i="1"/>
  <c r="Q145" i="1"/>
  <c r="P145" i="1"/>
  <c r="O145" i="1"/>
  <c r="N145" i="1"/>
  <c r="M145" i="1"/>
  <c r="W144" i="1"/>
  <c r="V144" i="1"/>
  <c r="U144" i="1"/>
  <c r="T144" i="1"/>
  <c r="S144" i="1"/>
  <c r="R144" i="1"/>
  <c r="Q144" i="1"/>
  <c r="P144" i="1"/>
  <c r="O144" i="1"/>
  <c r="N144" i="1"/>
  <c r="M144" i="1"/>
  <c r="W143" i="1"/>
  <c r="V143" i="1"/>
  <c r="U143" i="1"/>
  <c r="T143" i="1"/>
  <c r="S143" i="1"/>
  <c r="R143" i="1"/>
  <c r="Q143" i="1"/>
  <c r="P143" i="1"/>
  <c r="O143" i="1"/>
  <c r="N143" i="1"/>
  <c r="M143" i="1"/>
  <c r="W142" i="1"/>
  <c r="V142" i="1"/>
  <c r="U142" i="1"/>
  <c r="T142" i="1"/>
  <c r="S142" i="1"/>
  <c r="R142" i="1"/>
  <c r="Q142" i="1"/>
  <c r="P142" i="1"/>
  <c r="O142" i="1"/>
  <c r="N142" i="1"/>
  <c r="M142" i="1"/>
  <c r="W141" i="1"/>
  <c r="V141" i="1"/>
  <c r="U141" i="1"/>
  <c r="T141" i="1"/>
  <c r="S141" i="1"/>
  <c r="R141" i="1"/>
  <c r="Q141" i="1"/>
  <c r="P141" i="1"/>
  <c r="O141" i="1"/>
  <c r="N141" i="1"/>
  <c r="M141" i="1"/>
  <c r="W140" i="1"/>
  <c r="V140" i="1"/>
  <c r="U140" i="1"/>
  <c r="T140" i="1"/>
  <c r="S140" i="1"/>
  <c r="R140" i="1"/>
  <c r="Q140" i="1"/>
  <c r="P140" i="1"/>
  <c r="O140" i="1"/>
  <c r="N140" i="1"/>
  <c r="M140" i="1"/>
  <c r="W139" i="1"/>
  <c r="V139" i="1"/>
  <c r="U139" i="1"/>
  <c r="T139" i="1"/>
  <c r="S139" i="1"/>
  <c r="R139" i="1"/>
  <c r="Q139" i="1"/>
  <c r="P139" i="1"/>
  <c r="O139" i="1"/>
  <c r="N139" i="1"/>
  <c r="M139" i="1"/>
  <c r="W138" i="1"/>
  <c r="V138" i="1"/>
  <c r="U138" i="1"/>
  <c r="T138" i="1"/>
  <c r="S138" i="1"/>
  <c r="R138" i="1"/>
  <c r="Q138" i="1"/>
  <c r="P138" i="1"/>
  <c r="O138" i="1"/>
  <c r="N138" i="1"/>
  <c r="M138" i="1"/>
  <c r="W137" i="1"/>
  <c r="V137" i="1"/>
  <c r="U137" i="1"/>
  <c r="T137" i="1"/>
  <c r="S137" i="1"/>
  <c r="R137" i="1"/>
  <c r="Q137" i="1"/>
  <c r="P137" i="1"/>
  <c r="O137" i="1"/>
  <c r="N137" i="1"/>
  <c r="M137" i="1"/>
  <c r="W136" i="1"/>
  <c r="V136" i="1"/>
  <c r="U136" i="1"/>
  <c r="T136" i="1"/>
  <c r="S136" i="1"/>
  <c r="R136" i="1"/>
  <c r="Q136" i="1"/>
  <c r="P136" i="1"/>
  <c r="O136" i="1"/>
  <c r="N136" i="1"/>
  <c r="M136" i="1"/>
  <c r="W135" i="1"/>
  <c r="V135" i="1"/>
  <c r="U135" i="1"/>
  <c r="T135" i="1"/>
  <c r="S135" i="1"/>
  <c r="R135" i="1"/>
  <c r="Q135" i="1"/>
  <c r="P135" i="1"/>
  <c r="O135" i="1"/>
  <c r="N135" i="1"/>
  <c r="M135" i="1"/>
  <c r="W134" i="1"/>
  <c r="V134" i="1"/>
  <c r="U134" i="1"/>
  <c r="T134" i="1"/>
  <c r="S134" i="1"/>
  <c r="R134" i="1"/>
  <c r="Q134" i="1"/>
  <c r="P134" i="1"/>
  <c r="O134" i="1"/>
  <c r="N134" i="1"/>
  <c r="M134" i="1"/>
  <c r="W133" i="1"/>
  <c r="V133" i="1"/>
  <c r="U133" i="1"/>
  <c r="T133" i="1"/>
  <c r="S133" i="1"/>
  <c r="R133" i="1"/>
  <c r="Q133" i="1"/>
  <c r="P133" i="1"/>
  <c r="O133" i="1"/>
  <c r="N133" i="1"/>
  <c r="M133" i="1"/>
  <c r="W132" i="1"/>
  <c r="V132" i="1"/>
  <c r="U132" i="1"/>
  <c r="T132" i="1"/>
  <c r="S132" i="1"/>
  <c r="R132" i="1"/>
  <c r="Q132" i="1"/>
  <c r="P132" i="1"/>
  <c r="O132" i="1"/>
  <c r="N132" i="1"/>
  <c r="M132" i="1"/>
  <c r="W131" i="1"/>
  <c r="V131" i="1"/>
  <c r="U131" i="1"/>
  <c r="T131" i="1"/>
  <c r="S131" i="1"/>
  <c r="R131" i="1"/>
  <c r="Q131" i="1"/>
  <c r="P131" i="1"/>
  <c r="O131" i="1"/>
  <c r="N131" i="1"/>
  <c r="M131" i="1"/>
  <c r="W130" i="1"/>
  <c r="V130" i="1"/>
  <c r="U130" i="1"/>
  <c r="T130" i="1"/>
  <c r="S130" i="1"/>
  <c r="R130" i="1"/>
  <c r="Q130" i="1"/>
  <c r="P130" i="1"/>
  <c r="O130" i="1"/>
  <c r="N130" i="1"/>
  <c r="M130" i="1"/>
  <c r="W129" i="1"/>
  <c r="V129" i="1"/>
  <c r="U129" i="1"/>
  <c r="T129" i="1"/>
  <c r="S129" i="1"/>
  <c r="R129" i="1"/>
  <c r="Q129" i="1"/>
  <c r="P129" i="1"/>
  <c r="O129" i="1"/>
  <c r="N129" i="1"/>
  <c r="M129" i="1"/>
  <c r="W128" i="1"/>
  <c r="V128" i="1"/>
  <c r="U128" i="1"/>
  <c r="T128" i="1"/>
  <c r="S128" i="1"/>
  <c r="R128" i="1"/>
  <c r="Q128" i="1"/>
  <c r="P128" i="1"/>
  <c r="O128" i="1"/>
  <c r="N128" i="1"/>
  <c r="M128" i="1"/>
  <c r="W127" i="1"/>
  <c r="V127" i="1"/>
  <c r="U127" i="1"/>
  <c r="T127" i="1"/>
  <c r="S127" i="1"/>
  <c r="R127" i="1"/>
  <c r="Q127" i="1"/>
  <c r="P127" i="1"/>
  <c r="O127" i="1"/>
  <c r="N127" i="1"/>
  <c r="M127" i="1"/>
  <c r="W126" i="1"/>
  <c r="V126" i="1"/>
  <c r="U126" i="1"/>
  <c r="T126" i="1"/>
  <c r="S126" i="1"/>
  <c r="R126" i="1"/>
  <c r="Q126" i="1"/>
  <c r="P126" i="1"/>
  <c r="O126" i="1"/>
  <c r="N126" i="1"/>
  <c r="M126" i="1"/>
  <c r="W125" i="1"/>
  <c r="V125" i="1"/>
  <c r="U125" i="1"/>
  <c r="T125" i="1"/>
  <c r="S125" i="1"/>
  <c r="R125" i="1"/>
  <c r="Q125" i="1"/>
  <c r="P125" i="1"/>
  <c r="O125" i="1"/>
  <c r="N125" i="1"/>
  <c r="M125" i="1"/>
  <c r="W124" i="1"/>
  <c r="V124" i="1"/>
  <c r="U124" i="1"/>
  <c r="T124" i="1"/>
  <c r="S124" i="1"/>
  <c r="R124" i="1"/>
  <c r="Q124" i="1"/>
  <c r="P124" i="1"/>
  <c r="O124" i="1"/>
  <c r="N124" i="1"/>
  <c r="M124" i="1"/>
  <c r="W123" i="1"/>
  <c r="V123" i="1"/>
  <c r="U123" i="1"/>
  <c r="T123" i="1"/>
  <c r="S123" i="1"/>
  <c r="R123" i="1"/>
  <c r="Q123" i="1"/>
  <c r="P123" i="1"/>
  <c r="O123" i="1"/>
  <c r="N123" i="1"/>
  <c r="M123" i="1"/>
  <c r="W122" i="1"/>
  <c r="V122" i="1"/>
  <c r="U122" i="1"/>
  <c r="T122" i="1"/>
  <c r="S122" i="1"/>
  <c r="R122" i="1"/>
  <c r="Q122" i="1"/>
  <c r="P122" i="1"/>
  <c r="O122" i="1"/>
  <c r="N122" i="1"/>
  <c r="M122" i="1"/>
  <c r="W121" i="1"/>
  <c r="V121" i="1"/>
  <c r="U121" i="1"/>
  <c r="T121" i="1"/>
  <c r="S121" i="1"/>
  <c r="R121" i="1"/>
  <c r="Q121" i="1"/>
  <c r="P121" i="1"/>
  <c r="O121" i="1"/>
  <c r="N121" i="1"/>
  <c r="M121" i="1"/>
  <c r="W120" i="1"/>
  <c r="V120" i="1"/>
  <c r="U120" i="1"/>
  <c r="T120" i="1"/>
  <c r="S120" i="1"/>
  <c r="R120" i="1"/>
  <c r="Q120" i="1"/>
  <c r="P120" i="1"/>
  <c r="O120" i="1"/>
  <c r="N120" i="1"/>
  <c r="M120" i="1"/>
  <c r="W119" i="1"/>
  <c r="V119" i="1"/>
  <c r="U119" i="1"/>
  <c r="T119" i="1"/>
  <c r="S119" i="1"/>
  <c r="R119" i="1"/>
  <c r="Q119" i="1"/>
  <c r="P119" i="1"/>
  <c r="O119" i="1"/>
  <c r="N119" i="1"/>
  <c r="M119" i="1"/>
  <c r="W118" i="1"/>
  <c r="V118" i="1"/>
  <c r="U118" i="1"/>
  <c r="T118" i="1"/>
  <c r="S118" i="1"/>
  <c r="R118" i="1"/>
  <c r="Q118" i="1"/>
  <c r="P118" i="1"/>
  <c r="O118" i="1"/>
  <c r="N118" i="1"/>
  <c r="M118" i="1"/>
  <c r="W117" i="1"/>
  <c r="V117" i="1"/>
  <c r="U117" i="1"/>
  <c r="T117" i="1"/>
  <c r="S117" i="1"/>
  <c r="R117" i="1"/>
  <c r="Q117" i="1"/>
  <c r="P117" i="1"/>
  <c r="O117" i="1"/>
  <c r="N117" i="1"/>
  <c r="M117" i="1"/>
  <c r="W116" i="1"/>
  <c r="V116" i="1"/>
  <c r="U116" i="1"/>
  <c r="T116" i="1"/>
  <c r="S116" i="1"/>
  <c r="R116" i="1"/>
  <c r="Q116" i="1"/>
  <c r="P116" i="1"/>
  <c r="O116" i="1"/>
  <c r="N116" i="1"/>
  <c r="M116" i="1"/>
  <c r="W115" i="1"/>
  <c r="V115" i="1"/>
  <c r="U115" i="1"/>
  <c r="T115" i="1"/>
  <c r="S115" i="1"/>
  <c r="R115" i="1"/>
  <c r="Q115" i="1"/>
  <c r="P115" i="1"/>
  <c r="O115" i="1"/>
  <c r="N115" i="1"/>
  <c r="M115" i="1"/>
  <c r="W114" i="1"/>
  <c r="V114" i="1"/>
  <c r="U114" i="1"/>
  <c r="T114" i="1"/>
  <c r="S114" i="1"/>
  <c r="R114" i="1"/>
  <c r="Q114" i="1"/>
  <c r="P114" i="1"/>
  <c r="O114" i="1"/>
  <c r="N114" i="1"/>
  <c r="M114" i="1"/>
  <c r="W113" i="1"/>
  <c r="V113" i="1"/>
  <c r="U113" i="1"/>
  <c r="T113" i="1"/>
  <c r="S113" i="1"/>
  <c r="R113" i="1"/>
  <c r="Q113" i="1"/>
  <c r="P113" i="1"/>
  <c r="O113" i="1"/>
  <c r="N113" i="1"/>
  <c r="M113" i="1"/>
  <c r="W112" i="1"/>
  <c r="V112" i="1"/>
  <c r="U112" i="1"/>
  <c r="T112" i="1"/>
  <c r="S112" i="1"/>
  <c r="R112" i="1"/>
  <c r="Q112" i="1"/>
  <c r="P112" i="1"/>
  <c r="O112" i="1"/>
  <c r="N112" i="1"/>
  <c r="M112" i="1"/>
  <c r="W111" i="1"/>
  <c r="V111" i="1"/>
  <c r="U111" i="1"/>
  <c r="T111" i="1"/>
  <c r="S111" i="1"/>
  <c r="R111" i="1"/>
  <c r="Q111" i="1"/>
  <c r="P111" i="1"/>
  <c r="O111" i="1"/>
  <c r="N111" i="1"/>
  <c r="M111" i="1"/>
  <c r="W110" i="1"/>
  <c r="V110" i="1"/>
  <c r="U110" i="1"/>
  <c r="T110" i="1"/>
  <c r="S110" i="1"/>
  <c r="R110" i="1"/>
  <c r="Q110" i="1"/>
  <c r="P110" i="1"/>
  <c r="O110" i="1"/>
  <c r="N110" i="1"/>
  <c r="M110" i="1"/>
  <c r="W109" i="1"/>
  <c r="V109" i="1"/>
  <c r="H5" i="6" s="1"/>
  <c r="U109" i="1"/>
  <c r="T109" i="1"/>
  <c r="S109" i="1"/>
  <c r="R109" i="1"/>
  <c r="Q109" i="1"/>
  <c r="P109" i="1"/>
  <c r="O109" i="1"/>
  <c r="N109" i="1"/>
  <c r="M109" i="1"/>
  <c r="W108" i="1"/>
  <c r="V108" i="1"/>
  <c r="U108" i="1"/>
  <c r="T108" i="1"/>
  <c r="S108" i="1"/>
  <c r="R108" i="1"/>
  <c r="Q108" i="1"/>
  <c r="P108" i="1"/>
  <c r="O108" i="1"/>
  <c r="N108" i="1"/>
  <c r="M108" i="1"/>
  <c r="W107" i="1"/>
  <c r="V107" i="1"/>
  <c r="U107" i="1"/>
  <c r="T107" i="1"/>
  <c r="S107" i="1"/>
  <c r="R107" i="1"/>
  <c r="Q107" i="1"/>
  <c r="P107" i="1"/>
  <c r="O107" i="1"/>
  <c r="N107" i="1"/>
  <c r="M107" i="1"/>
  <c r="W106" i="1"/>
  <c r="V106" i="1"/>
  <c r="U106" i="1"/>
  <c r="T106" i="1"/>
  <c r="S106" i="1"/>
  <c r="R106" i="1"/>
  <c r="Q106" i="1"/>
  <c r="P106" i="1"/>
  <c r="O106" i="1"/>
  <c r="N106" i="1"/>
  <c r="M106" i="1"/>
  <c r="W105" i="1"/>
  <c r="V105" i="1"/>
  <c r="U105" i="1"/>
  <c r="T105" i="1"/>
  <c r="S105" i="1"/>
  <c r="R105" i="1"/>
  <c r="Q105" i="1"/>
  <c r="P105" i="1"/>
  <c r="O105" i="1"/>
  <c r="N105" i="1"/>
  <c r="M105" i="1"/>
  <c r="W104" i="1"/>
  <c r="V104" i="1"/>
  <c r="U104" i="1"/>
  <c r="T104" i="1"/>
  <c r="S104" i="1"/>
  <c r="R104" i="1"/>
  <c r="Q104" i="1"/>
  <c r="P104" i="1"/>
  <c r="O104" i="1"/>
  <c r="N104" i="1"/>
  <c r="M104" i="1"/>
  <c r="W103" i="1"/>
  <c r="V103" i="1"/>
  <c r="U103" i="1"/>
  <c r="T103" i="1"/>
  <c r="S103" i="1"/>
  <c r="R103" i="1"/>
  <c r="Q103" i="1"/>
  <c r="P103" i="1"/>
  <c r="O103" i="1"/>
  <c r="N103" i="1"/>
  <c r="M103" i="1"/>
  <c r="W102" i="1"/>
  <c r="V102" i="1"/>
  <c r="U102" i="1"/>
  <c r="T102" i="1"/>
  <c r="S102" i="1"/>
  <c r="R102" i="1"/>
  <c r="Q102" i="1"/>
  <c r="P102" i="1"/>
  <c r="O102" i="1"/>
  <c r="N102" i="1"/>
  <c r="M102" i="1"/>
  <c r="W101" i="1"/>
  <c r="V101" i="1"/>
  <c r="U101" i="1"/>
  <c r="T101" i="1"/>
  <c r="S101" i="1"/>
  <c r="R101" i="1"/>
  <c r="Q101" i="1"/>
  <c r="P101" i="1"/>
  <c r="O101" i="1"/>
  <c r="N101" i="1"/>
  <c r="M101" i="1"/>
  <c r="W100" i="1"/>
  <c r="V100" i="1"/>
  <c r="U100" i="1"/>
  <c r="T100" i="1"/>
  <c r="S100" i="1"/>
  <c r="R100" i="1"/>
  <c r="Q100" i="1"/>
  <c r="P100" i="1"/>
  <c r="O100" i="1"/>
  <c r="N100" i="1"/>
  <c r="M100" i="1"/>
  <c r="W99" i="1"/>
  <c r="V99" i="1"/>
  <c r="U99" i="1"/>
  <c r="T99" i="1"/>
  <c r="S99" i="1"/>
  <c r="R99" i="1"/>
  <c r="Q99" i="1"/>
  <c r="P99" i="1"/>
  <c r="O99" i="1"/>
  <c r="N99" i="1"/>
  <c r="M99" i="1"/>
  <c r="W98" i="1"/>
  <c r="V98" i="1"/>
  <c r="U98" i="1"/>
  <c r="T98" i="1"/>
  <c r="S98" i="1"/>
  <c r="R98" i="1"/>
  <c r="Q98" i="1"/>
  <c r="P98" i="1"/>
  <c r="O98" i="1"/>
  <c r="N98" i="1"/>
  <c r="M98" i="1"/>
  <c r="W97" i="1"/>
  <c r="V97" i="1"/>
  <c r="U97" i="1"/>
  <c r="T97" i="1"/>
  <c r="S97" i="1"/>
  <c r="R97" i="1"/>
  <c r="Q97" i="1"/>
  <c r="P97" i="1"/>
  <c r="O97" i="1"/>
  <c r="N97" i="1"/>
  <c r="M97" i="1"/>
  <c r="W96" i="1"/>
  <c r="V96" i="1"/>
  <c r="U96" i="1"/>
  <c r="T96" i="1"/>
  <c r="S96" i="1"/>
  <c r="R96" i="1"/>
  <c r="Q96" i="1"/>
  <c r="P96" i="1"/>
  <c r="O96" i="1"/>
  <c r="N96" i="1"/>
  <c r="M96" i="1"/>
  <c r="W95" i="1"/>
  <c r="V95" i="1"/>
  <c r="U95" i="1"/>
  <c r="T95" i="1"/>
  <c r="S95" i="1"/>
  <c r="R95" i="1"/>
  <c r="Q95" i="1"/>
  <c r="P95" i="1"/>
  <c r="O95" i="1"/>
  <c r="N95" i="1"/>
  <c r="M95" i="1"/>
  <c r="W94" i="1"/>
  <c r="V94" i="1"/>
  <c r="U94" i="1"/>
  <c r="T94" i="1"/>
  <c r="S94" i="1"/>
  <c r="R94" i="1"/>
  <c r="Q94" i="1"/>
  <c r="P94" i="1"/>
  <c r="O94" i="1"/>
  <c r="N94" i="1"/>
  <c r="M94" i="1"/>
  <c r="W93" i="1"/>
  <c r="V93" i="1"/>
  <c r="U93" i="1"/>
  <c r="T93" i="1"/>
  <c r="S93" i="1"/>
  <c r="R93" i="1"/>
  <c r="Q93" i="1"/>
  <c r="P93" i="1"/>
  <c r="O93" i="1"/>
  <c r="N93" i="1"/>
  <c r="M93" i="1"/>
  <c r="W92" i="1"/>
  <c r="V92" i="1"/>
  <c r="U92" i="1"/>
  <c r="T92" i="1"/>
  <c r="S92" i="1"/>
  <c r="R92" i="1"/>
  <c r="Q92" i="1"/>
  <c r="P92" i="1"/>
  <c r="O92" i="1"/>
  <c r="N92" i="1"/>
  <c r="M92" i="1"/>
  <c r="W91" i="1"/>
  <c r="V91" i="1"/>
  <c r="U91" i="1"/>
  <c r="T91" i="1"/>
  <c r="S91" i="1"/>
  <c r="R91" i="1"/>
  <c r="Q91" i="1"/>
  <c r="P91" i="1"/>
  <c r="O91" i="1"/>
  <c r="N91" i="1"/>
  <c r="M91" i="1"/>
  <c r="W90" i="1"/>
  <c r="V90" i="1"/>
  <c r="U90" i="1"/>
  <c r="T90" i="1"/>
  <c r="S90" i="1"/>
  <c r="R90" i="1"/>
  <c r="Q90" i="1"/>
  <c r="P90" i="1"/>
  <c r="O90" i="1"/>
  <c r="N90" i="1"/>
  <c r="M90" i="1"/>
  <c r="W89" i="1"/>
  <c r="V89" i="1"/>
  <c r="U89" i="1"/>
  <c r="T89" i="1"/>
  <c r="S89" i="1"/>
  <c r="R89" i="1"/>
  <c r="Q89" i="1"/>
  <c r="P89" i="1"/>
  <c r="O89" i="1"/>
  <c r="N89" i="1"/>
  <c r="M89" i="1"/>
  <c r="W88" i="1"/>
  <c r="V88" i="1"/>
  <c r="U88" i="1"/>
  <c r="T88" i="1"/>
  <c r="S88" i="1"/>
  <c r="R88" i="1"/>
  <c r="Q88" i="1"/>
  <c r="P88" i="1"/>
  <c r="O88" i="1"/>
  <c r="N88" i="1"/>
  <c r="M88" i="1"/>
  <c r="W87" i="1"/>
  <c r="V87" i="1"/>
  <c r="U87" i="1"/>
  <c r="T87" i="1"/>
  <c r="S87" i="1"/>
  <c r="R87" i="1"/>
  <c r="Q87" i="1"/>
  <c r="P87" i="1"/>
  <c r="O87" i="1"/>
  <c r="N87" i="1"/>
  <c r="M87" i="1"/>
  <c r="W86" i="1"/>
  <c r="V86" i="1"/>
  <c r="U86" i="1"/>
  <c r="T86" i="1"/>
  <c r="S86" i="1"/>
  <c r="R86" i="1"/>
  <c r="Q86" i="1"/>
  <c r="P86" i="1"/>
  <c r="O86" i="1"/>
  <c r="N86" i="1"/>
  <c r="M86" i="1"/>
  <c r="W85" i="1"/>
  <c r="V85" i="1"/>
  <c r="U85" i="1"/>
  <c r="T85" i="1"/>
  <c r="S85" i="1"/>
  <c r="R85" i="1"/>
  <c r="Q85" i="1"/>
  <c r="P85" i="1"/>
  <c r="O85" i="1"/>
  <c r="N85" i="1"/>
  <c r="M85" i="1"/>
  <c r="W84" i="1"/>
  <c r="V84" i="1"/>
  <c r="U84" i="1"/>
  <c r="T84" i="1"/>
  <c r="S84" i="1"/>
  <c r="R84" i="1"/>
  <c r="Q84" i="1"/>
  <c r="P84" i="1"/>
  <c r="O84" i="1"/>
  <c r="N84" i="1"/>
  <c r="M84" i="1"/>
  <c r="W83" i="1"/>
  <c r="V83" i="1"/>
  <c r="U83" i="1"/>
  <c r="T83" i="1"/>
  <c r="S83" i="1"/>
  <c r="R83" i="1"/>
  <c r="Q83" i="1"/>
  <c r="P83" i="1"/>
  <c r="O83" i="1"/>
  <c r="N83" i="1"/>
  <c r="M83" i="1"/>
  <c r="W82" i="1"/>
  <c r="V82" i="1"/>
  <c r="U82" i="1"/>
  <c r="T82" i="1"/>
  <c r="S82" i="1"/>
  <c r="R82" i="1"/>
  <c r="Q82" i="1"/>
  <c r="P82" i="1"/>
  <c r="O82" i="1"/>
  <c r="N82" i="1"/>
  <c r="M82" i="1"/>
  <c r="W81" i="1"/>
  <c r="V81" i="1"/>
  <c r="U81" i="1"/>
  <c r="T81" i="1"/>
  <c r="S81" i="1"/>
  <c r="R81" i="1"/>
  <c r="Q81" i="1"/>
  <c r="P81" i="1"/>
  <c r="O81" i="1"/>
  <c r="N81" i="1"/>
  <c r="M81" i="1"/>
  <c r="W80" i="1"/>
  <c r="V80" i="1"/>
  <c r="U80" i="1"/>
  <c r="T80" i="1"/>
  <c r="S80" i="1"/>
  <c r="R80" i="1"/>
  <c r="Q80" i="1"/>
  <c r="P80" i="1"/>
  <c r="O80" i="1"/>
  <c r="N80" i="1"/>
  <c r="M80" i="1"/>
  <c r="W79" i="1"/>
  <c r="V79" i="1"/>
  <c r="U79" i="1"/>
  <c r="T79" i="1"/>
  <c r="S79" i="1"/>
  <c r="R79" i="1"/>
  <c r="Q79" i="1"/>
  <c r="P79" i="1"/>
  <c r="O79" i="1"/>
  <c r="N79" i="1"/>
  <c r="M79" i="1"/>
  <c r="W78" i="1"/>
  <c r="V78" i="1"/>
  <c r="U78" i="1"/>
  <c r="T78" i="1"/>
  <c r="S78" i="1"/>
  <c r="R78" i="1"/>
  <c r="Q78" i="1"/>
  <c r="P78" i="1"/>
  <c r="O78" i="1"/>
  <c r="N78" i="1"/>
  <c r="M78" i="1"/>
  <c r="W77" i="1"/>
  <c r="V77" i="1"/>
  <c r="U77" i="1"/>
  <c r="T77" i="1"/>
  <c r="S77" i="1"/>
  <c r="R77" i="1"/>
  <c r="Q77" i="1"/>
  <c r="P77" i="1"/>
  <c r="O77" i="1"/>
  <c r="N77" i="1"/>
  <c r="M77" i="1"/>
  <c r="W76" i="1"/>
  <c r="V76" i="1"/>
  <c r="U76" i="1"/>
  <c r="T76" i="1"/>
  <c r="S76" i="1"/>
  <c r="R76" i="1"/>
  <c r="Q76" i="1"/>
  <c r="P76" i="1"/>
  <c r="O76" i="1"/>
  <c r="N76" i="1"/>
  <c r="M76" i="1"/>
  <c r="W75" i="1"/>
  <c r="V75" i="1"/>
  <c r="U75" i="1"/>
  <c r="T75" i="1"/>
  <c r="S75" i="1"/>
  <c r="R75" i="1"/>
  <c r="Q75" i="1"/>
  <c r="P75" i="1"/>
  <c r="O75" i="1"/>
  <c r="N75" i="1"/>
  <c r="M75" i="1"/>
  <c r="W74" i="1"/>
  <c r="V74" i="1"/>
  <c r="U74" i="1"/>
  <c r="T74" i="1"/>
  <c r="S74" i="1"/>
  <c r="R74" i="1"/>
  <c r="Q74" i="1"/>
  <c r="P74" i="1"/>
  <c r="O74" i="1"/>
  <c r="N74" i="1"/>
  <c r="M74" i="1"/>
  <c r="W73" i="1"/>
  <c r="V73" i="1"/>
  <c r="U73" i="1"/>
  <c r="T73" i="1"/>
  <c r="S73" i="1"/>
  <c r="R73" i="1"/>
  <c r="Q73" i="1"/>
  <c r="P73" i="1"/>
  <c r="O73" i="1"/>
  <c r="N73" i="1"/>
  <c r="M73" i="1"/>
  <c r="W72" i="1"/>
  <c r="V72" i="1"/>
  <c r="U72" i="1"/>
  <c r="T72" i="1"/>
  <c r="S72" i="1"/>
  <c r="R72" i="1"/>
  <c r="Q72" i="1"/>
  <c r="P72" i="1"/>
  <c r="O72" i="1"/>
  <c r="N72" i="1"/>
  <c r="M72" i="1"/>
  <c r="W71" i="1"/>
  <c r="V71" i="1"/>
  <c r="U71" i="1"/>
  <c r="T71" i="1"/>
  <c r="S71" i="1"/>
  <c r="R71" i="1"/>
  <c r="Q71" i="1"/>
  <c r="P71" i="1"/>
  <c r="O71" i="1"/>
  <c r="N71" i="1"/>
  <c r="M71" i="1"/>
  <c r="W70" i="1"/>
  <c r="V70" i="1"/>
  <c r="U70" i="1"/>
  <c r="T70" i="1"/>
  <c r="S70" i="1"/>
  <c r="R70" i="1"/>
  <c r="Q70" i="1"/>
  <c r="P70" i="1"/>
  <c r="O70" i="1"/>
  <c r="N70" i="1"/>
  <c r="M70" i="1"/>
  <c r="W69" i="1"/>
  <c r="V69" i="1"/>
  <c r="U69" i="1"/>
  <c r="T69" i="1"/>
  <c r="S69" i="1"/>
  <c r="R69" i="1"/>
  <c r="Q69" i="1"/>
  <c r="P69" i="1"/>
  <c r="O69" i="1"/>
  <c r="N69" i="1"/>
  <c r="M69" i="1"/>
  <c r="W68" i="1"/>
  <c r="V68" i="1"/>
  <c r="U68" i="1"/>
  <c r="T68" i="1"/>
  <c r="S68" i="1"/>
  <c r="R68" i="1"/>
  <c r="Q68" i="1"/>
  <c r="P68" i="1"/>
  <c r="O68" i="1"/>
  <c r="N68" i="1"/>
  <c r="M68" i="1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G300" i="10"/>
  <c r="F300" i="10"/>
  <c r="E300" i="10"/>
  <c r="D300" i="10"/>
  <c r="C300" i="10"/>
  <c r="B300" i="10"/>
  <c r="A300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G299" i="10"/>
  <c r="F299" i="10"/>
  <c r="E299" i="10"/>
  <c r="D299" i="10"/>
  <c r="C299" i="10"/>
  <c r="B299" i="10"/>
  <c r="A299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G298" i="10"/>
  <c r="F298" i="10"/>
  <c r="E298" i="10"/>
  <c r="D298" i="10"/>
  <c r="C298" i="10"/>
  <c r="B298" i="10"/>
  <c r="A298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G297" i="10"/>
  <c r="F297" i="10"/>
  <c r="E297" i="10"/>
  <c r="D297" i="10"/>
  <c r="C297" i="10"/>
  <c r="B297" i="10"/>
  <c r="A297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G296" i="10"/>
  <c r="F296" i="10"/>
  <c r="E296" i="10"/>
  <c r="D296" i="10"/>
  <c r="C296" i="10"/>
  <c r="B296" i="10"/>
  <c r="A296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G295" i="10"/>
  <c r="F295" i="10"/>
  <c r="E295" i="10"/>
  <c r="D295" i="10"/>
  <c r="C295" i="10"/>
  <c r="B295" i="10"/>
  <c r="A295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G294" i="10"/>
  <c r="F294" i="10"/>
  <c r="E294" i="10"/>
  <c r="D294" i="10"/>
  <c r="C294" i="10"/>
  <c r="B294" i="10"/>
  <c r="A294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G293" i="10"/>
  <c r="F293" i="10"/>
  <c r="E293" i="10"/>
  <c r="D293" i="10"/>
  <c r="C293" i="10"/>
  <c r="B293" i="10"/>
  <c r="A293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G292" i="10"/>
  <c r="F292" i="10"/>
  <c r="E292" i="10"/>
  <c r="D292" i="10"/>
  <c r="C292" i="10"/>
  <c r="B292" i="10"/>
  <c r="A292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G291" i="10"/>
  <c r="F291" i="10"/>
  <c r="E291" i="10"/>
  <c r="D291" i="10"/>
  <c r="C291" i="10"/>
  <c r="B291" i="10"/>
  <c r="A291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G290" i="10"/>
  <c r="F290" i="10"/>
  <c r="E290" i="10"/>
  <c r="D290" i="10"/>
  <c r="C290" i="10"/>
  <c r="B290" i="10"/>
  <c r="A290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G289" i="10"/>
  <c r="F289" i="10"/>
  <c r="E289" i="10"/>
  <c r="D289" i="10"/>
  <c r="C289" i="10"/>
  <c r="B289" i="10"/>
  <c r="A289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G288" i="10"/>
  <c r="F288" i="10"/>
  <c r="E288" i="10"/>
  <c r="D288" i="10"/>
  <c r="C288" i="10"/>
  <c r="B288" i="10"/>
  <c r="A288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G287" i="10"/>
  <c r="F287" i="10"/>
  <c r="E287" i="10"/>
  <c r="D287" i="10"/>
  <c r="C287" i="10"/>
  <c r="B287" i="10"/>
  <c r="A287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G286" i="10"/>
  <c r="F286" i="10"/>
  <c r="E286" i="10"/>
  <c r="D286" i="10"/>
  <c r="C286" i="10"/>
  <c r="B286" i="10"/>
  <c r="A286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G285" i="10"/>
  <c r="F285" i="10"/>
  <c r="E285" i="10"/>
  <c r="D285" i="10"/>
  <c r="C285" i="10"/>
  <c r="B285" i="10"/>
  <c r="A285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G284" i="10"/>
  <c r="F284" i="10"/>
  <c r="E284" i="10"/>
  <c r="D284" i="10"/>
  <c r="C284" i="10"/>
  <c r="B284" i="10"/>
  <c r="A284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G283" i="10"/>
  <c r="F283" i="10"/>
  <c r="E283" i="10"/>
  <c r="D283" i="10"/>
  <c r="C283" i="10"/>
  <c r="B283" i="10"/>
  <c r="A283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G282" i="10"/>
  <c r="F282" i="10"/>
  <c r="E282" i="10"/>
  <c r="D282" i="10"/>
  <c r="C282" i="10"/>
  <c r="B282" i="10"/>
  <c r="A282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G281" i="10"/>
  <c r="F281" i="10"/>
  <c r="E281" i="10"/>
  <c r="D281" i="10"/>
  <c r="C281" i="10"/>
  <c r="B281" i="10"/>
  <c r="A281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G280" i="10"/>
  <c r="F280" i="10"/>
  <c r="E280" i="10"/>
  <c r="D280" i="10"/>
  <c r="C280" i="10"/>
  <c r="B280" i="10"/>
  <c r="A280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G279" i="10"/>
  <c r="F279" i="10"/>
  <c r="E279" i="10"/>
  <c r="D279" i="10"/>
  <c r="C279" i="10"/>
  <c r="B279" i="10"/>
  <c r="A279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G278" i="10"/>
  <c r="F278" i="10"/>
  <c r="E278" i="10"/>
  <c r="D278" i="10"/>
  <c r="C278" i="10"/>
  <c r="B278" i="10"/>
  <c r="A278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G277" i="10"/>
  <c r="F277" i="10"/>
  <c r="E277" i="10"/>
  <c r="D277" i="10"/>
  <c r="C277" i="10"/>
  <c r="B277" i="10"/>
  <c r="A277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G276" i="10"/>
  <c r="F276" i="10"/>
  <c r="E276" i="10"/>
  <c r="D276" i="10"/>
  <c r="C276" i="10"/>
  <c r="B276" i="10"/>
  <c r="A276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G275" i="10"/>
  <c r="F275" i="10"/>
  <c r="E275" i="10"/>
  <c r="D275" i="10"/>
  <c r="C275" i="10"/>
  <c r="B275" i="10"/>
  <c r="A275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G274" i="10"/>
  <c r="F274" i="10"/>
  <c r="E274" i="10"/>
  <c r="D274" i="10"/>
  <c r="C274" i="10"/>
  <c r="B274" i="10"/>
  <c r="A274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G273" i="10"/>
  <c r="F273" i="10"/>
  <c r="E273" i="10"/>
  <c r="D273" i="10"/>
  <c r="C273" i="10"/>
  <c r="B273" i="10"/>
  <c r="A273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G272" i="10"/>
  <c r="F272" i="10"/>
  <c r="E272" i="10"/>
  <c r="D272" i="10"/>
  <c r="C272" i="10"/>
  <c r="B272" i="10"/>
  <c r="A272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G271" i="10"/>
  <c r="F271" i="10"/>
  <c r="E271" i="10"/>
  <c r="D271" i="10"/>
  <c r="C271" i="10"/>
  <c r="B271" i="10"/>
  <c r="A271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G270" i="10"/>
  <c r="F270" i="10"/>
  <c r="E270" i="10"/>
  <c r="D270" i="10"/>
  <c r="C270" i="10"/>
  <c r="B270" i="10"/>
  <c r="A270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G269" i="10"/>
  <c r="F269" i="10"/>
  <c r="E269" i="10"/>
  <c r="D269" i="10"/>
  <c r="C269" i="10"/>
  <c r="B269" i="10"/>
  <c r="A269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G268" i="10"/>
  <c r="F268" i="10"/>
  <c r="E268" i="10"/>
  <c r="D268" i="10"/>
  <c r="C268" i="10"/>
  <c r="B268" i="10"/>
  <c r="A268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G267" i="10"/>
  <c r="F267" i="10"/>
  <c r="E267" i="10"/>
  <c r="D267" i="10"/>
  <c r="C267" i="10"/>
  <c r="B267" i="10"/>
  <c r="A267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G266" i="10"/>
  <c r="F266" i="10"/>
  <c r="E266" i="10"/>
  <c r="D266" i="10"/>
  <c r="C266" i="10"/>
  <c r="B266" i="10"/>
  <c r="A266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G265" i="10"/>
  <c r="F265" i="10"/>
  <c r="E265" i="10"/>
  <c r="D265" i="10"/>
  <c r="C265" i="10"/>
  <c r="B265" i="10"/>
  <c r="A265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G264" i="10"/>
  <c r="F264" i="10"/>
  <c r="E264" i="10"/>
  <c r="D264" i="10"/>
  <c r="C264" i="10"/>
  <c r="B264" i="10"/>
  <c r="A264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G263" i="10"/>
  <c r="F263" i="10"/>
  <c r="E263" i="10"/>
  <c r="D263" i="10"/>
  <c r="C263" i="10"/>
  <c r="B263" i="10"/>
  <c r="A263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G262" i="10"/>
  <c r="F262" i="10"/>
  <c r="E262" i="10"/>
  <c r="D262" i="10"/>
  <c r="C262" i="10"/>
  <c r="B262" i="10"/>
  <c r="A262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G261" i="10"/>
  <c r="F261" i="10"/>
  <c r="E261" i="10"/>
  <c r="D261" i="10"/>
  <c r="C261" i="10"/>
  <c r="B261" i="10"/>
  <c r="A261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G260" i="10"/>
  <c r="F260" i="10"/>
  <c r="E260" i="10"/>
  <c r="D260" i="10"/>
  <c r="C260" i="10"/>
  <c r="B260" i="10"/>
  <c r="A260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G259" i="10"/>
  <c r="F259" i="10"/>
  <c r="E259" i="10"/>
  <c r="D259" i="10"/>
  <c r="C259" i="10"/>
  <c r="B259" i="10"/>
  <c r="A259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G258" i="10"/>
  <c r="F258" i="10"/>
  <c r="E258" i="10"/>
  <c r="D258" i="10"/>
  <c r="C258" i="10"/>
  <c r="B258" i="10"/>
  <c r="A258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G257" i="10"/>
  <c r="F257" i="10"/>
  <c r="E257" i="10"/>
  <c r="D257" i="10"/>
  <c r="C257" i="10"/>
  <c r="B257" i="10"/>
  <c r="A257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G256" i="10"/>
  <c r="F256" i="10"/>
  <c r="E256" i="10"/>
  <c r="D256" i="10"/>
  <c r="C256" i="10"/>
  <c r="B256" i="10"/>
  <c r="A256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G255" i="10"/>
  <c r="F255" i="10"/>
  <c r="E255" i="10"/>
  <c r="D255" i="10"/>
  <c r="C255" i="10"/>
  <c r="B255" i="10"/>
  <c r="A255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G254" i="10"/>
  <c r="F254" i="10"/>
  <c r="E254" i="10"/>
  <c r="D254" i="10"/>
  <c r="C254" i="10"/>
  <c r="B254" i="10"/>
  <c r="A254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G253" i="10"/>
  <c r="F253" i="10"/>
  <c r="E253" i="10"/>
  <c r="D253" i="10"/>
  <c r="C253" i="10"/>
  <c r="B253" i="10"/>
  <c r="A253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G252" i="10"/>
  <c r="F252" i="10"/>
  <c r="E252" i="10"/>
  <c r="D252" i="10"/>
  <c r="C252" i="10"/>
  <c r="B252" i="10"/>
  <c r="A252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G251" i="10"/>
  <c r="F251" i="10"/>
  <c r="E251" i="10"/>
  <c r="D251" i="10"/>
  <c r="C251" i="10"/>
  <c r="B251" i="10"/>
  <c r="A251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G250" i="10"/>
  <c r="F250" i="10"/>
  <c r="E250" i="10"/>
  <c r="D250" i="10"/>
  <c r="C250" i="10"/>
  <c r="B250" i="10"/>
  <c r="A250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G249" i="10"/>
  <c r="F249" i="10"/>
  <c r="E249" i="10"/>
  <c r="D249" i="10"/>
  <c r="C249" i="10"/>
  <c r="B249" i="10"/>
  <c r="A249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G248" i="10"/>
  <c r="F248" i="10"/>
  <c r="E248" i="10"/>
  <c r="D248" i="10"/>
  <c r="C248" i="10"/>
  <c r="B248" i="10"/>
  <c r="A248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G247" i="10"/>
  <c r="F247" i="10"/>
  <c r="E247" i="10"/>
  <c r="D247" i="10"/>
  <c r="C247" i="10"/>
  <c r="B247" i="10"/>
  <c r="A247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G246" i="10"/>
  <c r="F246" i="10"/>
  <c r="E246" i="10"/>
  <c r="D246" i="10"/>
  <c r="C246" i="10"/>
  <c r="B246" i="10"/>
  <c r="A246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G245" i="10"/>
  <c r="F245" i="10"/>
  <c r="E245" i="10"/>
  <c r="D245" i="10"/>
  <c r="C245" i="10"/>
  <c r="B245" i="10"/>
  <c r="A245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G244" i="10"/>
  <c r="F244" i="10"/>
  <c r="E244" i="10"/>
  <c r="D244" i="10"/>
  <c r="C244" i="10"/>
  <c r="B244" i="10"/>
  <c r="A244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G243" i="10"/>
  <c r="F243" i="10"/>
  <c r="E243" i="10"/>
  <c r="D243" i="10"/>
  <c r="C243" i="10"/>
  <c r="B243" i="10"/>
  <c r="A243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G242" i="10"/>
  <c r="F242" i="10"/>
  <c r="E242" i="10"/>
  <c r="D242" i="10"/>
  <c r="C242" i="10"/>
  <c r="B242" i="10"/>
  <c r="A242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G241" i="10"/>
  <c r="F241" i="10"/>
  <c r="E241" i="10"/>
  <c r="D241" i="10"/>
  <c r="C241" i="10"/>
  <c r="B241" i="10"/>
  <c r="A241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G240" i="10"/>
  <c r="F240" i="10"/>
  <c r="E240" i="10"/>
  <c r="D240" i="10"/>
  <c r="C240" i="10"/>
  <c r="B240" i="10"/>
  <c r="A240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G239" i="10"/>
  <c r="F239" i="10"/>
  <c r="E239" i="10"/>
  <c r="D239" i="10"/>
  <c r="C239" i="10"/>
  <c r="B239" i="10"/>
  <c r="A239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G238" i="10"/>
  <c r="F238" i="10"/>
  <c r="E238" i="10"/>
  <c r="D238" i="10"/>
  <c r="C238" i="10"/>
  <c r="B238" i="10"/>
  <c r="A238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G237" i="10"/>
  <c r="F237" i="10"/>
  <c r="E237" i="10"/>
  <c r="D237" i="10"/>
  <c r="C237" i="10"/>
  <c r="B237" i="10"/>
  <c r="A237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G236" i="10"/>
  <c r="F236" i="10"/>
  <c r="E236" i="10"/>
  <c r="D236" i="10"/>
  <c r="C236" i="10"/>
  <c r="B236" i="10"/>
  <c r="A236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G235" i="10"/>
  <c r="F235" i="10"/>
  <c r="E235" i="10"/>
  <c r="D235" i="10"/>
  <c r="C235" i="10"/>
  <c r="B235" i="10"/>
  <c r="A235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G234" i="10"/>
  <c r="F234" i="10"/>
  <c r="E234" i="10"/>
  <c r="D234" i="10"/>
  <c r="C234" i="10"/>
  <c r="B234" i="10"/>
  <c r="A234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G233" i="10"/>
  <c r="F233" i="10"/>
  <c r="E233" i="10"/>
  <c r="D233" i="10"/>
  <c r="C233" i="10"/>
  <c r="B233" i="10"/>
  <c r="A233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G232" i="10"/>
  <c r="F232" i="10"/>
  <c r="E232" i="10"/>
  <c r="D232" i="10"/>
  <c r="C232" i="10"/>
  <c r="B232" i="10"/>
  <c r="A232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G231" i="10"/>
  <c r="F231" i="10"/>
  <c r="E231" i="10"/>
  <c r="D231" i="10"/>
  <c r="C231" i="10"/>
  <c r="B231" i="10"/>
  <c r="A231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G230" i="10"/>
  <c r="F230" i="10"/>
  <c r="E230" i="10"/>
  <c r="D230" i="10"/>
  <c r="C230" i="10"/>
  <c r="B230" i="10"/>
  <c r="A230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G229" i="10"/>
  <c r="F229" i="10"/>
  <c r="E229" i="10"/>
  <c r="D229" i="10"/>
  <c r="C229" i="10"/>
  <c r="B229" i="10"/>
  <c r="A229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G228" i="10"/>
  <c r="F228" i="10"/>
  <c r="E228" i="10"/>
  <c r="D228" i="10"/>
  <c r="C228" i="10"/>
  <c r="B228" i="10"/>
  <c r="A228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G227" i="10"/>
  <c r="F227" i="10"/>
  <c r="E227" i="10"/>
  <c r="D227" i="10"/>
  <c r="C227" i="10"/>
  <c r="B227" i="10"/>
  <c r="A227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G226" i="10"/>
  <c r="F226" i="10"/>
  <c r="E226" i="10"/>
  <c r="D226" i="10"/>
  <c r="C226" i="10"/>
  <c r="B226" i="10"/>
  <c r="A226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G225" i="10"/>
  <c r="F225" i="10"/>
  <c r="E225" i="10"/>
  <c r="D225" i="10"/>
  <c r="C225" i="10"/>
  <c r="B225" i="10"/>
  <c r="A225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G224" i="10"/>
  <c r="F224" i="10"/>
  <c r="E224" i="10"/>
  <c r="D224" i="10"/>
  <c r="C224" i="10"/>
  <c r="B224" i="10"/>
  <c r="A224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G223" i="10"/>
  <c r="F223" i="10"/>
  <c r="E223" i="10"/>
  <c r="D223" i="10"/>
  <c r="C223" i="10"/>
  <c r="B223" i="10"/>
  <c r="A223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G222" i="10"/>
  <c r="F222" i="10"/>
  <c r="E222" i="10"/>
  <c r="D222" i="10"/>
  <c r="C222" i="10"/>
  <c r="B222" i="10"/>
  <c r="A222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G221" i="10"/>
  <c r="F221" i="10"/>
  <c r="E221" i="10"/>
  <c r="D221" i="10"/>
  <c r="C221" i="10"/>
  <c r="B221" i="10"/>
  <c r="A221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G220" i="10"/>
  <c r="F220" i="10"/>
  <c r="E220" i="10"/>
  <c r="D220" i="10"/>
  <c r="C220" i="10"/>
  <c r="B220" i="10"/>
  <c r="A220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G219" i="10"/>
  <c r="F219" i="10"/>
  <c r="E219" i="10"/>
  <c r="D219" i="10"/>
  <c r="C219" i="10"/>
  <c r="B219" i="10"/>
  <c r="A219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G218" i="10"/>
  <c r="F218" i="10"/>
  <c r="E218" i="10"/>
  <c r="D218" i="10"/>
  <c r="C218" i="10"/>
  <c r="B218" i="10"/>
  <c r="A218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G217" i="10"/>
  <c r="F217" i="10"/>
  <c r="E217" i="10"/>
  <c r="D217" i="10"/>
  <c r="C217" i="10"/>
  <c r="B217" i="10"/>
  <c r="A217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G216" i="10"/>
  <c r="F216" i="10"/>
  <c r="E216" i="10"/>
  <c r="D216" i="10"/>
  <c r="C216" i="10"/>
  <c r="B216" i="10"/>
  <c r="A216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G215" i="10"/>
  <c r="F215" i="10"/>
  <c r="E215" i="10"/>
  <c r="D215" i="10"/>
  <c r="C215" i="10"/>
  <c r="B215" i="10"/>
  <c r="A215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G214" i="10"/>
  <c r="F214" i="10"/>
  <c r="E214" i="10"/>
  <c r="D214" i="10"/>
  <c r="C214" i="10"/>
  <c r="B214" i="10"/>
  <c r="A214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G213" i="10"/>
  <c r="F213" i="10"/>
  <c r="E213" i="10"/>
  <c r="D213" i="10"/>
  <c r="C213" i="10"/>
  <c r="B213" i="10"/>
  <c r="A213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G212" i="10"/>
  <c r="F212" i="10"/>
  <c r="E212" i="10"/>
  <c r="D212" i="10"/>
  <c r="C212" i="10"/>
  <c r="B212" i="10"/>
  <c r="A212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G211" i="10"/>
  <c r="F211" i="10"/>
  <c r="E211" i="10"/>
  <c r="D211" i="10"/>
  <c r="C211" i="10"/>
  <c r="B211" i="10"/>
  <c r="A211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G210" i="10"/>
  <c r="F210" i="10"/>
  <c r="E210" i="10"/>
  <c r="D210" i="10"/>
  <c r="C210" i="10"/>
  <c r="B210" i="10"/>
  <c r="A210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G209" i="10"/>
  <c r="F209" i="10"/>
  <c r="E209" i="10"/>
  <c r="D209" i="10"/>
  <c r="C209" i="10"/>
  <c r="B209" i="10"/>
  <c r="A209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G208" i="10"/>
  <c r="F208" i="10"/>
  <c r="E208" i="10"/>
  <c r="D208" i="10"/>
  <c r="C208" i="10"/>
  <c r="B208" i="10"/>
  <c r="A208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G207" i="10"/>
  <c r="F207" i="10"/>
  <c r="E207" i="10"/>
  <c r="D207" i="10"/>
  <c r="C207" i="10"/>
  <c r="B207" i="10"/>
  <c r="A207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G206" i="10"/>
  <c r="F206" i="10"/>
  <c r="E206" i="10"/>
  <c r="D206" i="10"/>
  <c r="C206" i="10"/>
  <c r="B206" i="10"/>
  <c r="A206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G205" i="10"/>
  <c r="F205" i="10"/>
  <c r="E205" i="10"/>
  <c r="D205" i="10"/>
  <c r="C205" i="10"/>
  <c r="B205" i="10"/>
  <c r="A205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G204" i="10"/>
  <c r="F204" i="10"/>
  <c r="E204" i="10"/>
  <c r="D204" i="10"/>
  <c r="C204" i="10"/>
  <c r="B204" i="10"/>
  <c r="A204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G203" i="10"/>
  <c r="F203" i="10"/>
  <c r="E203" i="10"/>
  <c r="D203" i="10"/>
  <c r="C203" i="10"/>
  <c r="B203" i="10"/>
  <c r="A203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G202" i="10"/>
  <c r="F202" i="10"/>
  <c r="E202" i="10"/>
  <c r="D202" i="10"/>
  <c r="C202" i="10"/>
  <c r="B202" i="10"/>
  <c r="A202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G201" i="10"/>
  <c r="F201" i="10"/>
  <c r="E201" i="10"/>
  <c r="D201" i="10"/>
  <c r="C201" i="10"/>
  <c r="B201" i="10"/>
  <c r="A201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G200" i="10"/>
  <c r="F200" i="10"/>
  <c r="E200" i="10"/>
  <c r="D200" i="10"/>
  <c r="C200" i="10"/>
  <c r="B200" i="10"/>
  <c r="A200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G199" i="10"/>
  <c r="F199" i="10"/>
  <c r="E199" i="10"/>
  <c r="D199" i="10"/>
  <c r="C199" i="10"/>
  <c r="B199" i="10"/>
  <c r="A199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G198" i="10"/>
  <c r="F198" i="10"/>
  <c r="E198" i="10"/>
  <c r="D198" i="10"/>
  <c r="C198" i="10"/>
  <c r="B198" i="10"/>
  <c r="A198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G197" i="10"/>
  <c r="F197" i="10"/>
  <c r="E197" i="10"/>
  <c r="D197" i="10"/>
  <c r="C197" i="10"/>
  <c r="B197" i="10"/>
  <c r="A197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G196" i="10"/>
  <c r="F196" i="10"/>
  <c r="E196" i="10"/>
  <c r="D196" i="10"/>
  <c r="C196" i="10"/>
  <c r="B196" i="10"/>
  <c r="A196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G195" i="10"/>
  <c r="F195" i="10"/>
  <c r="E195" i="10"/>
  <c r="D195" i="10"/>
  <c r="C195" i="10"/>
  <c r="B195" i="10"/>
  <c r="A195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G194" i="10"/>
  <c r="F194" i="10"/>
  <c r="E194" i="10"/>
  <c r="D194" i="10"/>
  <c r="C194" i="10"/>
  <c r="B194" i="10"/>
  <c r="A194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G193" i="10"/>
  <c r="F193" i="10"/>
  <c r="E193" i="10"/>
  <c r="D193" i="10"/>
  <c r="C193" i="10"/>
  <c r="B193" i="10"/>
  <c r="A193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G192" i="10"/>
  <c r="F192" i="10"/>
  <c r="E192" i="10"/>
  <c r="D192" i="10"/>
  <c r="C192" i="10"/>
  <c r="B192" i="10"/>
  <c r="A192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G191" i="10"/>
  <c r="F191" i="10"/>
  <c r="E191" i="10"/>
  <c r="D191" i="10"/>
  <c r="C191" i="10"/>
  <c r="B191" i="10"/>
  <c r="A191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G190" i="10"/>
  <c r="F190" i="10"/>
  <c r="E190" i="10"/>
  <c r="D190" i="10"/>
  <c r="C190" i="10"/>
  <c r="B190" i="10"/>
  <c r="A190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G189" i="10"/>
  <c r="F189" i="10"/>
  <c r="E189" i="10"/>
  <c r="D189" i="10"/>
  <c r="C189" i="10"/>
  <c r="B189" i="10"/>
  <c r="A189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G188" i="10"/>
  <c r="F188" i="10"/>
  <c r="E188" i="10"/>
  <c r="D188" i="10"/>
  <c r="C188" i="10"/>
  <c r="B188" i="10"/>
  <c r="A188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G187" i="10"/>
  <c r="F187" i="10"/>
  <c r="E187" i="10"/>
  <c r="D187" i="10"/>
  <c r="C187" i="10"/>
  <c r="B187" i="10"/>
  <c r="A187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G186" i="10"/>
  <c r="F186" i="10"/>
  <c r="E186" i="10"/>
  <c r="D186" i="10"/>
  <c r="C186" i="10"/>
  <c r="B186" i="10"/>
  <c r="A186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G185" i="10"/>
  <c r="F185" i="10"/>
  <c r="E185" i="10"/>
  <c r="D185" i="10"/>
  <c r="C185" i="10"/>
  <c r="B185" i="10"/>
  <c r="A185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G184" i="10"/>
  <c r="F184" i="10"/>
  <c r="E184" i="10"/>
  <c r="D184" i="10"/>
  <c r="C184" i="10"/>
  <c r="B184" i="10"/>
  <c r="A184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G183" i="10"/>
  <c r="F183" i="10"/>
  <c r="E183" i="10"/>
  <c r="D183" i="10"/>
  <c r="C183" i="10"/>
  <c r="B183" i="10"/>
  <c r="A183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G182" i="10"/>
  <c r="F182" i="10"/>
  <c r="E182" i="10"/>
  <c r="D182" i="10"/>
  <c r="C182" i="10"/>
  <c r="B182" i="10"/>
  <c r="A182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G181" i="10"/>
  <c r="F181" i="10"/>
  <c r="E181" i="10"/>
  <c r="D181" i="10"/>
  <c r="C181" i="10"/>
  <c r="B181" i="10"/>
  <c r="A181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G180" i="10"/>
  <c r="F180" i="10"/>
  <c r="E180" i="10"/>
  <c r="D180" i="10"/>
  <c r="C180" i="10"/>
  <c r="B180" i="10"/>
  <c r="A180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G179" i="10"/>
  <c r="F179" i="10"/>
  <c r="E179" i="10"/>
  <c r="D179" i="10"/>
  <c r="C179" i="10"/>
  <c r="B179" i="10"/>
  <c r="A179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G178" i="10"/>
  <c r="F178" i="10"/>
  <c r="E178" i="10"/>
  <c r="D178" i="10"/>
  <c r="C178" i="10"/>
  <c r="B178" i="10"/>
  <c r="A178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G177" i="10"/>
  <c r="F177" i="10"/>
  <c r="E177" i="10"/>
  <c r="D177" i="10"/>
  <c r="C177" i="10"/>
  <c r="B177" i="10"/>
  <c r="A177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G176" i="10"/>
  <c r="F176" i="10"/>
  <c r="E176" i="10"/>
  <c r="D176" i="10"/>
  <c r="C176" i="10"/>
  <c r="B176" i="10"/>
  <c r="A176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G175" i="10"/>
  <c r="F175" i="10"/>
  <c r="E175" i="10"/>
  <c r="D175" i="10"/>
  <c r="C175" i="10"/>
  <c r="B175" i="10"/>
  <c r="A175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G174" i="10"/>
  <c r="F174" i="10"/>
  <c r="E174" i="10"/>
  <c r="D174" i="10"/>
  <c r="C174" i="10"/>
  <c r="B174" i="10"/>
  <c r="A174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G173" i="10"/>
  <c r="F173" i="10"/>
  <c r="E173" i="10"/>
  <c r="D173" i="10"/>
  <c r="C173" i="10"/>
  <c r="B173" i="10"/>
  <c r="A173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G172" i="10"/>
  <c r="F172" i="10"/>
  <c r="E172" i="10"/>
  <c r="D172" i="10"/>
  <c r="C172" i="10"/>
  <c r="B172" i="10"/>
  <c r="A172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G171" i="10"/>
  <c r="F171" i="10"/>
  <c r="E171" i="10"/>
  <c r="D171" i="10"/>
  <c r="C171" i="10"/>
  <c r="B171" i="10"/>
  <c r="A171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G170" i="10"/>
  <c r="F170" i="10"/>
  <c r="E170" i="10"/>
  <c r="D170" i="10"/>
  <c r="C170" i="10"/>
  <c r="B170" i="10"/>
  <c r="A170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G169" i="10"/>
  <c r="F169" i="10"/>
  <c r="E169" i="10"/>
  <c r="D169" i="10"/>
  <c r="C169" i="10"/>
  <c r="B169" i="10"/>
  <c r="A169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G168" i="10"/>
  <c r="F168" i="10"/>
  <c r="E168" i="10"/>
  <c r="D168" i="10"/>
  <c r="C168" i="10"/>
  <c r="B168" i="10"/>
  <c r="A168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G167" i="10"/>
  <c r="F167" i="10"/>
  <c r="E167" i="10"/>
  <c r="D167" i="10"/>
  <c r="C167" i="10"/>
  <c r="B167" i="10"/>
  <c r="A167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G166" i="10"/>
  <c r="F166" i="10"/>
  <c r="E166" i="10"/>
  <c r="D166" i="10"/>
  <c r="C166" i="10"/>
  <c r="B166" i="10"/>
  <c r="A166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G165" i="10"/>
  <c r="F165" i="10"/>
  <c r="E165" i="10"/>
  <c r="D165" i="10"/>
  <c r="C165" i="10"/>
  <c r="B165" i="10"/>
  <c r="A165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G164" i="10"/>
  <c r="F164" i="10"/>
  <c r="E164" i="10"/>
  <c r="D164" i="10"/>
  <c r="C164" i="10"/>
  <c r="B164" i="10"/>
  <c r="A164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G163" i="10"/>
  <c r="F163" i="10"/>
  <c r="E163" i="10"/>
  <c r="D163" i="10"/>
  <c r="C163" i="10"/>
  <c r="B163" i="10"/>
  <c r="A163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G162" i="10"/>
  <c r="F162" i="10"/>
  <c r="E162" i="10"/>
  <c r="D162" i="10"/>
  <c r="C162" i="10"/>
  <c r="B162" i="10"/>
  <c r="A162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G161" i="10"/>
  <c r="F161" i="10"/>
  <c r="E161" i="10"/>
  <c r="D161" i="10"/>
  <c r="C161" i="10"/>
  <c r="B161" i="10"/>
  <c r="A161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G160" i="10"/>
  <c r="F160" i="10"/>
  <c r="E160" i="10"/>
  <c r="D160" i="10"/>
  <c r="C160" i="10"/>
  <c r="B160" i="10"/>
  <c r="A160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G159" i="10"/>
  <c r="F159" i="10"/>
  <c r="E159" i="10"/>
  <c r="D159" i="10"/>
  <c r="C159" i="10"/>
  <c r="B159" i="10"/>
  <c r="A159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G158" i="10"/>
  <c r="F158" i="10"/>
  <c r="E158" i="10"/>
  <c r="D158" i="10"/>
  <c r="C158" i="10"/>
  <c r="B158" i="10"/>
  <c r="A158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G157" i="10"/>
  <c r="F157" i="10"/>
  <c r="E157" i="10"/>
  <c r="D157" i="10"/>
  <c r="C157" i="10"/>
  <c r="B157" i="10"/>
  <c r="A157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G156" i="10"/>
  <c r="F156" i="10"/>
  <c r="E156" i="10"/>
  <c r="D156" i="10"/>
  <c r="C156" i="10"/>
  <c r="B156" i="10"/>
  <c r="A156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G155" i="10"/>
  <c r="F155" i="10"/>
  <c r="E155" i="10"/>
  <c r="D155" i="10"/>
  <c r="C155" i="10"/>
  <c r="B155" i="10"/>
  <c r="A155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G154" i="10"/>
  <c r="F154" i="10"/>
  <c r="E154" i="10"/>
  <c r="D154" i="10"/>
  <c r="C154" i="10"/>
  <c r="B154" i="10"/>
  <c r="A154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G153" i="10"/>
  <c r="F153" i="10"/>
  <c r="E153" i="10"/>
  <c r="D153" i="10"/>
  <c r="C153" i="10"/>
  <c r="B153" i="10"/>
  <c r="A153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G152" i="10"/>
  <c r="F152" i="10"/>
  <c r="E152" i="10"/>
  <c r="D152" i="10"/>
  <c r="C152" i="10"/>
  <c r="B152" i="10"/>
  <c r="A152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G151" i="10"/>
  <c r="F151" i="10"/>
  <c r="E151" i="10"/>
  <c r="D151" i="10"/>
  <c r="C151" i="10"/>
  <c r="B151" i="10"/>
  <c r="A151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G150" i="10"/>
  <c r="F150" i="10"/>
  <c r="E150" i="10"/>
  <c r="D150" i="10"/>
  <c r="C150" i="10"/>
  <c r="B150" i="10"/>
  <c r="A150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G149" i="10"/>
  <c r="F149" i="10"/>
  <c r="E149" i="10"/>
  <c r="D149" i="10"/>
  <c r="C149" i="10"/>
  <c r="B149" i="10"/>
  <c r="A149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G148" i="10"/>
  <c r="F148" i="10"/>
  <c r="E148" i="10"/>
  <c r="D148" i="10"/>
  <c r="C148" i="10"/>
  <c r="B148" i="10"/>
  <c r="A148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G147" i="10"/>
  <c r="F147" i="10"/>
  <c r="E147" i="10"/>
  <c r="D147" i="10"/>
  <c r="C147" i="10"/>
  <c r="B147" i="10"/>
  <c r="A147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G146" i="10"/>
  <c r="F146" i="10"/>
  <c r="E146" i="10"/>
  <c r="D146" i="10"/>
  <c r="C146" i="10"/>
  <c r="B146" i="10"/>
  <c r="A146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G145" i="10"/>
  <c r="F145" i="10"/>
  <c r="E145" i="10"/>
  <c r="D145" i="10"/>
  <c r="C145" i="10"/>
  <c r="B145" i="10"/>
  <c r="A145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G144" i="10"/>
  <c r="F144" i="10"/>
  <c r="E144" i="10"/>
  <c r="D144" i="10"/>
  <c r="C144" i="10"/>
  <c r="B144" i="10"/>
  <c r="A144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G143" i="10"/>
  <c r="F143" i="10"/>
  <c r="E143" i="10"/>
  <c r="D143" i="10"/>
  <c r="C143" i="10"/>
  <c r="B143" i="10"/>
  <c r="A143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G142" i="10"/>
  <c r="F142" i="10"/>
  <c r="E142" i="10"/>
  <c r="D142" i="10"/>
  <c r="C142" i="10"/>
  <c r="B142" i="10"/>
  <c r="A142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G141" i="10"/>
  <c r="F141" i="10"/>
  <c r="E141" i="10"/>
  <c r="D141" i="10"/>
  <c r="C141" i="10"/>
  <c r="B141" i="10"/>
  <c r="A141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G140" i="10"/>
  <c r="F140" i="10"/>
  <c r="E140" i="10"/>
  <c r="D140" i="10"/>
  <c r="C140" i="10"/>
  <c r="B140" i="10"/>
  <c r="A140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G139" i="10"/>
  <c r="F139" i="10"/>
  <c r="E139" i="10"/>
  <c r="D139" i="10"/>
  <c r="C139" i="10"/>
  <c r="B139" i="10"/>
  <c r="A139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G138" i="10"/>
  <c r="F138" i="10"/>
  <c r="E138" i="10"/>
  <c r="D138" i="10"/>
  <c r="C138" i="10"/>
  <c r="B138" i="10"/>
  <c r="A138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G137" i="10"/>
  <c r="F137" i="10"/>
  <c r="E137" i="10"/>
  <c r="D137" i="10"/>
  <c r="C137" i="10"/>
  <c r="B137" i="10"/>
  <c r="A137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G136" i="10"/>
  <c r="F136" i="10"/>
  <c r="E136" i="10"/>
  <c r="D136" i="10"/>
  <c r="C136" i="10"/>
  <c r="B136" i="10"/>
  <c r="A136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G135" i="10"/>
  <c r="F135" i="10"/>
  <c r="E135" i="10"/>
  <c r="D135" i="10"/>
  <c r="C135" i="10"/>
  <c r="B135" i="10"/>
  <c r="A135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G134" i="10"/>
  <c r="F134" i="10"/>
  <c r="E134" i="10"/>
  <c r="D134" i="10"/>
  <c r="C134" i="10"/>
  <c r="B134" i="10"/>
  <c r="A134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G133" i="10"/>
  <c r="F133" i="10"/>
  <c r="E133" i="10"/>
  <c r="D133" i="10"/>
  <c r="C133" i="10"/>
  <c r="B133" i="10"/>
  <c r="A133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G132" i="10"/>
  <c r="F132" i="10"/>
  <c r="E132" i="10"/>
  <c r="D132" i="10"/>
  <c r="C132" i="10"/>
  <c r="B132" i="10"/>
  <c r="A132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G131" i="10"/>
  <c r="F131" i="10"/>
  <c r="E131" i="10"/>
  <c r="D131" i="10"/>
  <c r="C131" i="10"/>
  <c r="B131" i="10"/>
  <c r="A131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G130" i="10"/>
  <c r="F130" i="10"/>
  <c r="E130" i="10"/>
  <c r="D130" i="10"/>
  <c r="C130" i="10"/>
  <c r="B130" i="10"/>
  <c r="A130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G129" i="10"/>
  <c r="F129" i="10"/>
  <c r="E129" i="10"/>
  <c r="D129" i="10"/>
  <c r="C129" i="10"/>
  <c r="B129" i="10"/>
  <c r="A129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G128" i="10"/>
  <c r="F128" i="10"/>
  <c r="E128" i="10"/>
  <c r="D128" i="10"/>
  <c r="C128" i="10"/>
  <c r="B128" i="10"/>
  <c r="A128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G127" i="10"/>
  <c r="F127" i="10"/>
  <c r="E127" i="10"/>
  <c r="D127" i="10"/>
  <c r="C127" i="10"/>
  <c r="B127" i="10"/>
  <c r="A127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G126" i="10"/>
  <c r="F126" i="10"/>
  <c r="E126" i="10"/>
  <c r="D126" i="10"/>
  <c r="C126" i="10"/>
  <c r="B126" i="10"/>
  <c r="A126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G125" i="10"/>
  <c r="F125" i="10"/>
  <c r="E125" i="10"/>
  <c r="D125" i="10"/>
  <c r="C125" i="10"/>
  <c r="B125" i="10"/>
  <c r="A125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G124" i="10"/>
  <c r="F124" i="10"/>
  <c r="E124" i="10"/>
  <c r="D124" i="10"/>
  <c r="C124" i="10"/>
  <c r="B124" i="10"/>
  <c r="A124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G123" i="10"/>
  <c r="F123" i="10"/>
  <c r="E123" i="10"/>
  <c r="D123" i="10"/>
  <c r="C123" i="10"/>
  <c r="B123" i="10"/>
  <c r="A123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G122" i="10"/>
  <c r="F122" i="10"/>
  <c r="E122" i="10"/>
  <c r="D122" i="10"/>
  <c r="C122" i="10"/>
  <c r="B122" i="10"/>
  <c r="A122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G121" i="10"/>
  <c r="F121" i="10"/>
  <c r="E121" i="10"/>
  <c r="D121" i="10"/>
  <c r="C121" i="10"/>
  <c r="B121" i="10"/>
  <c r="A121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G120" i="10"/>
  <c r="F120" i="10"/>
  <c r="E120" i="10"/>
  <c r="D120" i="10"/>
  <c r="C120" i="10"/>
  <c r="B120" i="10"/>
  <c r="A120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G119" i="10"/>
  <c r="F119" i="10"/>
  <c r="E119" i="10"/>
  <c r="D119" i="10"/>
  <c r="C119" i="10"/>
  <c r="B119" i="10"/>
  <c r="A119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G118" i="10"/>
  <c r="F118" i="10"/>
  <c r="E118" i="10"/>
  <c r="D118" i="10"/>
  <c r="C118" i="10"/>
  <c r="B118" i="10"/>
  <c r="A118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G117" i="10"/>
  <c r="F117" i="10"/>
  <c r="E117" i="10"/>
  <c r="D117" i="10"/>
  <c r="C117" i="10"/>
  <c r="B117" i="10"/>
  <c r="A117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G116" i="10"/>
  <c r="F116" i="10"/>
  <c r="E116" i="10"/>
  <c r="D116" i="10"/>
  <c r="C116" i="10"/>
  <c r="B116" i="10"/>
  <c r="A116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G115" i="10"/>
  <c r="F115" i="10"/>
  <c r="E115" i="10"/>
  <c r="D115" i="10"/>
  <c r="C115" i="10"/>
  <c r="B115" i="10"/>
  <c r="A115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G114" i="10"/>
  <c r="F114" i="10"/>
  <c r="E114" i="10"/>
  <c r="D114" i="10"/>
  <c r="C114" i="10"/>
  <c r="B114" i="10"/>
  <c r="A114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G113" i="10"/>
  <c r="F113" i="10"/>
  <c r="E113" i="10"/>
  <c r="D113" i="10"/>
  <c r="C113" i="10"/>
  <c r="B113" i="10"/>
  <c r="A113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G112" i="10"/>
  <c r="F112" i="10"/>
  <c r="E112" i="10"/>
  <c r="D112" i="10"/>
  <c r="C112" i="10"/>
  <c r="B112" i="10"/>
  <c r="A112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G111" i="10"/>
  <c r="F111" i="10"/>
  <c r="E111" i="10"/>
  <c r="D111" i="10"/>
  <c r="C111" i="10"/>
  <c r="B111" i="10"/>
  <c r="A111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G110" i="10"/>
  <c r="F110" i="10"/>
  <c r="E110" i="10"/>
  <c r="D110" i="10"/>
  <c r="C110" i="10"/>
  <c r="B110" i="10"/>
  <c r="A110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G109" i="10"/>
  <c r="F109" i="10"/>
  <c r="E109" i="10"/>
  <c r="D109" i="10"/>
  <c r="C109" i="10"/>
  <c r="B109" i="10"/>
  <c r="A109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G108" i="10"/>
  <c r="F108" i="10"/>
  <c r="E108" i="10"/>
  <c r="D108" i="10"/>
  <c r="C108" i="10"/>
  <c r="B108" i="10"/>
  <c r="A108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G107" i="10"/>
  <c r="F107" i="10"/>
  <c r="E107" i="10"/>
  <c r="D107" i="10"/>
  <c r="C107" i="10"/>
  <c r="B107" i="10"/>
  <c r="A107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G106" i="10"/>
  <c r="F106" i="10"/>
  <c r="E106" i="10"/>
  <c r="D106" i="10"/>
  <c r="C106" i="10"/>
  <c r="B106" i="10"/>
  <c r="A106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G105" i="10"/>
  <c r="F105" i="10"/>
  <c r="E105" i="10"/>
  <c r="D105" i="10"/>
  <c r="C105" i="10"/>
  <c r="B105" i="10"/>
  <c r="A105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G104" i="10"/>
  <c r="F104" i="10"/>
  <c r="E104" i="10"/>
  <c r="D104" i="10"/>
  <c r="C104" i="10"/>
  <c r="B104" i="10"/>
  <c r="A104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G103" i="10"/>
  <c r="F103" i="10"/>
  <c r="E103" i="10"/>
  <c r="D103" i="10"/>
  <c r="C103" i="10"/>
  <c r="B103" i="10"/>
  <c r="A103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G102" i="10"/>
  <c r="F102" i="10"/>
  <c r="E102" i="10"/>
  <c r="D102" i="10"/>
  <c r="C102" i="10"/>
  <c r="B102" i="10"/>
  <c r="A102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G101" i="10"/>
  <c r="F101" i="10"/>
  <c r="E101" i="10"/>
  <c r="D101" i="10"/>
  <c r="C101" i="10"/>
  <c r="B101" i="10"/>
  <c r="A101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G100" i="10"/>
  <c r="F100" i="10"/>
  <c r="E100" i="10"/>
  <c r="D100" i="10"/>
  <c r="C100" i="10"/>
  <c r="B100" i="10"/>
  <c r="A100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G99" i="10"/>
  <c r="F99" i="10"/>
  <c r="E99" i="10"/>
  <c r="D99" i="10"/>
  <c r="C99" i="10"/>
  <c r="B99" i="10"/>
  <c r="A99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G98" i="10"/>
  <c r="F98" i="10"/>
  <c r="E98" i="10"/>
  <c r="D98" i="10"/>
  <c r="C98" i="10"/>
  <c r="B98" i="10"/>
  <c r="A98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G97" i="10"/>
  <c r="F97" i="10"/>
  <c r="E97" i="10"/>
  <c r="D97" i="10"/>
  <c r="C97" i="10"/>
  <c r="B97" i="10"/>
  <c r="A97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G96" i="10"/>
  <c r="F96" i="10"/>
  <c r="E96" i="10"/>
  <c r="D96" i="10"/>
  <c r="C96" i="10"/>
  <c r="B96" i="10"/>
  <c r="A96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G95" i="10"/>
  <c r="F95" i="10"/>
  <c r="E95" i="10"/>
  <c r="D95" i="10"/>
  <c r="C95" i="10"/>
  <c r="B95" i="10"/>
  <c r="A95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G94" i="10"/>
  <c r="F94" i="10"/>
  <c r="E94" i="10"/>
  <c r="D94" i="10"/>
  <c r="C94" i="10"/>
  <c r="B94" i="10"/>
  <c r="A94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G93" i="10"/>
  <c r="F93" i="10"/>
  <c r="E93" i="10"/>
  <c r="D93" i="10"/>
  <c r="C93" i="10"/>
  <c r="B93" i="10"/>
  <c r="A93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G92" i="10"/>
  <c r="F92" i="10"/>
  <c r="E92" i="10"/>
  <c r="D92" i="10"/>
  <c r="C92" i="10"/>
  <c r="B92" i="10"/>
  <c r="A92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G91" i="10"/>
  <c r="F91" i="10"/>
  <c r="E91" i="10"/>
  <c r="D91" i="10"/>
  <c r="C91" i="10"/>
  <c r="B91" i="10"/>
  <c r="A91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G90" i="10"/>
  <c r="F90" i="10"/>
  <c r="E90" i="10"/>
  <c r="D90" i="10"/>
  <c r="C90" i="10"/>
  <c r="B90" i="10"/>
  <c r="A90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G89" i="10"/>
  <c r="F89" i="10"/>
  <c r="E89" i="10"/>
  <c r="D89" i="10"/>
  <c r="C89" i="10"/>
  <c r="B89" i="10"/>
  <c r="A89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G88" i="10"/>
  <c r="F88" i="10"/>
  <c r="E88" i="10"/>
  <c r="D88" i="10"/>
  <c r="C88" i="10"/>
  <c r="B88" i="10"/>
  <c r="A88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G87" i="10"/>
  <c r="F87" i="10"/>
  <c r="E87" i="10"/>
  <c r="D87" i="10"/>
  <c r="C87" i="10"/>
  <c r="B87" i="10"/>
  <c r="A87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G86" i="10"/>
  <c r="F86" i="10"/>
  <c r="E86" i="10"/>
  <c r="D86" i="10"/>
  <c r="C86" i="10"/>
  <c r="B86" i="10"/>
  <c r="A86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G85" i="10"/>
  <c r="F85" i="10"/>
  <c r="E85" i="10"/>
  <c r="D85" i="10"/>
  <c r="C85" i="10"/>
  <c r="B85" i="10"/>
  <c r="A85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G84" i="10"/>
  <c r="F84" i="10"/>
  <c r="E84" i="10"/>
  <c r="D84" i="10"/>
  <c r="C84" i="10"/>
  <c r="B84" i="10"/>
  <c r="A84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G83" i="10"/>
  <c r="F83" i="10"/>
  <c r="E83" i="10"/>
  <c r="D83" i="10"/>
  <c r="C83" i="10"/>
  <c r="B83" i="10"/>
  <c r="A83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G82" i="10"/>
  <c r="F82" i="10"/>
  <c r="E82" i="10"/>
  <c r="D82" i="10"/>
  <c r="C82" i="10"/>
  <c r="B82" i="10"/>
  <c r="A82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G81" i="10"/>
  <c r="F81" i="10"/>
  <c r="E81" i="10"/>
  <c r="D81" i="10"/>
  <c r="C81" i="10"/>
  <c r="B81" i="10"/>
  <c r="A81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G80" i="10"/>
  <c r="F80" i="10"/>
  <c r="E80" i="10"/>
  <c r="D80" i="10"/>
  <c r="C80" i="10"/>
  <c r="B80" i="10"/>
  <c r="A80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G79" i="10"/>
  <c r="F79" i="10"/>
  <c r="E79" i="10"/>
  <c r="D79" i="10"/>
  <c r="C79" i="10"/>
  <c r="B79" i="10"/>
  <c r="A79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G78" i="10"/>
  <c r="F78" i="10"/>
  <c r="E78" i="10"/>
  <c r="D78" i="10"/>
  <c r="C78" i="10"/>
  <c r="B78" i="10"/>
  <c r="A78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G77" i="10"/>
  <c r="F77" i="10"/>
  <c r="E77" i="10"/>
  <c r="D77" i="10"/>
  <c r="C77" i="10"/>
  <c r="B77" i="10"/>
  <c r="A77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G76" i="10"/>
  <c r="F76" i="10"/>
  <c r="E76" i="10"/>
  <c r="D76" i="10"/>
  <c r="C76" i="10"/>
  <c r="B76" i="10"/>
  <c r="A76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G75" i="10"/>
  <c r="F75" i="10"/>
  <c r="E75" i="10"/>
  <c r="D75" i="10"/>
  <c r="C75" i="10"/>
  <c r="B75" i="10"/>
  <c r="A75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G74" i="10"/>
  <c r="F74" i="10"/>
  <c r="E74" i="10"/>
  <c r="D74" i="10"/>
  <c r="C74" i="10"/>
  <c r="B74" i="10"/>
  <c r="A74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G73" i="10"/>
  <c r="F73" i="10"/>
  <c r="E73" i="10"/>
  <c r="D73" i="10"/>
  <c r="C73" i="10"/>
  <c r="B73" i="10"/>
  <c r="A73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G72" i="10"/>
  <c r="F72" i="10"/>
  <c r="E72" i="10"/>
  <c r="D72" i="10"/>
  <c r="C72" i="10"/>
  <c r="B72" i="10"/>
  <c r="A72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G71" i="10"/>
  <c r="F71" i="10"/>
  <c r="E71" i="10"/>
  <c r="D71" i="10"/>
  <c r="C71" i="10"/>
  <c r="B71" i="10"/>
  <c r="A71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G70" i="10"/>
  <c r="F70" i="10"/>
  <c r="E70" i="10"/>
  <c r="D70" i="10"/>
  <c r="C70" i="10"/>
  <c r="B70" i="10"/>
  <c r="A70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G69" i="10"/>
  <c r="F69" i="10"/>
  <c r="E69" i="10"/>
  <c r="D69" i="10"/>
  <c r="C69" i="10"/>
  <c r="B69" i="10"/>
  <c r="A69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G68" i="10"/>
  <c r="F68" i="10"/>
  <c r="E68" i="10"/>
  <c r="D68" i="10"/>
  <c r="C68" i="10"/>
  <c r="B68" i="10"/>
  <c r="A68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G67" i="10"/>
  <c r="F67" i="10"/>
  <c r="E67" i="10"/>
  <c r="D67" i="10"/>
  <c r="C67" i="10"/>
  <c r="B67" i="10"/>
  <c r="A67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G66" i="10"/>
  <c r="F66" i="10"/>
  <c r="E66" i="10"/>
  <c r="D66" i="10"/>
  <c r="C66" i="10"/>
  <c r="B66" i="10"/>
  <c r="A66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G65" i="10"/>
  <c r="F65" i="10"/>
  <c r="E65" i="10"/>
  <c r="D65" i="10"/>
  <c r="C65" i="10"/>
  <c r="B65" i="10"/>
  <c r="A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G64" i="10"/>
  <c r="F64" i="10"/>
  <c r="E64" i="10"/>
  <c r="D64" i="10"/>
  <c r="C64" i="10"/>
  <c r="B64" i="10"/>
  <c r="A64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G63" i="10"/>
  <c r="F63" i="10"/>
  <c r="E63" i="10"/>
  <c r="D63" i="10"/>
  <c r="C63" i="10"/>
  <c r="B63" i="10"/>
  <c r="A63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G62" i="10"/>
  <c r="F62" i="10"/>
  <c r="E62" i="10"/>
  <c r="D62" i="10"/>
  <c r="C62" i="10"/>
  <c r="B62" i="10"/>
  <c r="A62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G61" i="10"/>
  <c r="F61" i="10"/>
  <c r="E61" i="10"/>
  <c r="D61" i="10"/>
  <c r="C61" i="10"/>
  <c r="B61" i="10"/>
  <c r="A61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G60" i="10"/>
  <c r="F60" i="10"/>
  <c r="E60" i="10"/>
  <c r="D60" i="10"/>
  <c r="C60" i="10"/>
  <c r="B60" i="10"/>
  <c r="A60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G59" i="10"/>
  <c r="F59" i="10"/>
  <c r="E59" i="10"/>
  <c r="D59" i="10"/>
  <c r="C59" i="10"/>
  <c r="B59" i="10"/>
  <c r="A59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G58" i="10"/>
  <c r="F58" i="10"/>
  <c r="E58" i="10"/>
  <c r="D58" i="10"/>
  <c r="C58" i="10"/>
  <c r="B58" i="10"/>
  <c r="A58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G57" i="10"/>
  <c r="F57" i="10"/>
  <c r="E57" i="10"/>
  <c r="D57" i="10"/>
  <c r="C57" i="10"/>
  <c r="B57" i="10"/>
  <c r="A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G56" i="10"/>
  <c r="F56" i="10"/>
  <c r="E56" i="10"/>
  <c r="D56" i="10"/>
  <c r="C56" i="10"/>
  <c r="B56" i="10"/>
  <c r="A56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G55" i="10"/>
  <c r="F55" i="10"/>
  <c r="E55" i="10"/>
  <c r="D55" i="10"/>
  <c r="C55" i="10"/>
  <c r="B55" i="10"/>
  <c r="A55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G54" i="10"/>
  <c r="F54" i="10"/>
  <c r="E54" i="10"/>
  <c r="D54" i="10"/>
  <c r="C54" i="10"/>
  <c r="B54" i="10"/>
  <c r="A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G53" i="10"/>
  <c r="F53" i="10"/>
  <c r="E53" i="10"/>
  <c r="D53" i="10"/>
  <c r="C53" i="10"/>
  <c r="B53" i="10"/>
  <c r="A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G52" i="10"/>
  <c r="F52" i="10"/>
  <c r="E52" i="10"/>
  <c r="D52" i="10"/>
  <c r="C52" i="10"/>
  <c r="B52" i="10"/>
  <c r="A52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G51" i="10"/>
  <c r="F51" i="10"/>
  <c r="E51" i="10"/>
  <c r="D51" i="10"/>
  <c r="C51" i="10"/>
  <c r="B51" i="10"/>
  <c r="A51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G50" i="10"/>
  <c r="F50" i="10"/>
  <c r="E50" i="10"/>
  <c r="D50" i="10"/>
  <c r="C50" i="10"/>
  <c r="B50" i="10"/>
  <c r="A50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G49" i="10"/>
  <c r="F49" i="10"/>
  <c r="E49" i="10"/>
  <c r="D49" i="10"/>
  <c r="C49" i="10"/>
  <c r="B49" i="10"/>
  <c r="A49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G48" i="10"/>
  <c r="F48" i="10"/>
  <c r="E48" i="10"/>
  <c r="D48" i="10"/>
  <c r="C48" i="10"/>
  <c r="B48" i="10"/>
  <c r="A48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G47" i="10"/>
  <c r="F47" i="10"/>
  <c r="E47" i="10"/>
  <c r="D47" i="10"/>
  <c r="C47" i="10"/>
  <c r="B47" i="10"/>
  <c r="A47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G46" i="10"/>
  <c r="F46" i="10"/>
  <c r="E46" i="10"/>
  <c r="D46" i="10"/>
  <c r="C46" i="10"/>
  <c r="B46" i="10"/>
  <c r="A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G45" i="10"/>
  <c r="F45" i="10"/>
  <c r="E45" i="10"/>
  <c r="D45" i="10"/>
  <c r="C45" i="10"/>
  <c r="B45" i="10"/>
  <c r="A45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G44" i="10"/>
  <c r="F44" i="10"/>
  <c r="E44" i="10"/>
  <c r="D44" i="10"/>
  <c r="C44" i="10"/>
  <c r="B44" i="10"/>
  <c r="A44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G43" i="10"/>
  <c r="F43" i="10"/>
  <c r="E43" i="10"/>
  <c r="D43" i="10"/>
  <c r="C43" i="10"/>
  <c r="B43" i="10"/>
  <c r="A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G42" i="10"/>
  <c r="F42" i="10"/>
  <c r="E42" i="10"/>
  <c r="D42" i="10"/>
  <c r="C42" i="10"/>
  <c r="B42" i="10"/>
  <c r="A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G41" i="10"/>
  <c r="F41" i="10"/>
  <c r="E41" i="10"/>
  <c r="D41" i="10"/>
  <c r="C41" i="10"/>
  <c r="B41" i="10"/>
  <c r="A41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G40" i="10"/>
  <c r="F40" i="10"/>
  <c r="E40" i="10"/>
  <c r="D40" i="10"/>
  <c r="C40" i="10"/>
  <c r="B40" i="10"/>
  <c r="A40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G39" i="10"/>
  <c r="F39" i="10"/>
  <c r="E39" i="10"/>
  <c r="D39" i="10"/>
  <c r="C39" i="10"/>
  <c r="B39" i="10"/>
  <c r="A39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G38" i="10"/>
  <c r="F38" i="10"/>
  <c r="E38" i="10"/>
  <c r="D38" i="10"/>
  <c r="C38" i="10"/>
  <c r="B38" i="10"/>
  <c r="A38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G37" i="10"/>
  <c r="F37" i="10"/>
  <c r="E37" i="10"/>
  <c r="D37" i="10"/>
  <c r="C37" i="10"/>
  <c r="B37" i="10"/>
  <c r="A37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G36" i="10"/>
  <c r="F36" i="10"/>
  <c r="E36" i="10"/>
  <c r="D36" i="10"/>
  <c r="C36" i="10"/>
  <c r="B36" i="10"/>
  <c r="A36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G35" i="10"/>
  <c r="F35" i="10"/>
  <c r="E35" i="10"/>
  <c r="D35" i="10"/>
  <c r="C35" i="10"/>
  <c r="B35" i="10"/>
  <c r="A35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G34" i="10"/>
  <c r="F34" i="10"/>
  <c r="E34" i="10"/>
  <c r="D34" i="10"/>
  <c r="C34" i="10"/>
  <c r="B34" i="10"/>
  <c r="A34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G33" i="10"/>
  <c r="F33" i="10"/>
  <c r="E33" i="10"/>
  <c r="D33" i="10"/>
  <c r="C33" i="10"/>
  <c r="B33" i="10"/>
  <c r="A33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G32" i="10"/>
  <c r="F32" i="10"/>
  <c r="E32" i="10"/>
  <c r="D32" i="10"/>
  <c r="C32" i="10"/>
  <c r="B32" i="10"/>
  <c r="A32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B31" i="10"/>
  <c r="A31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G30" i="10"/>
  <c r="F30" i="10"/>
  <c r="E30" i="10"/>
  <c r="D30" i="10"/>
  <c r="C30" i="10"/>
  <c r="B30" i="10"/>
  <c r="A30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G29" i="10"/>
  <c r="F29" i="10"/>
  <c r="E29" i="10"/>
  <c r="D29" i="10"/>
  <c r="C29" i="10"/>
  <c r="B29" i="10"/>
  <c r="A29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G28" i="10"/>
  <c r="F28" i="10"/>
  <c r="E28" i="10"/>
  <c r="D28" i="10"/>
  <c r="C28" i="10"/>
  <c r="B28" i="10"/>
  <c r="A28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G27" i="10"/>
  <c r="F27" i="10"/>
  <c r="E27" i="10"/>
  <c r="D27" i="10"/>
  <c r="C27" i="10"/>
  <c r="B27" i="10"/>
  <c r="A27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G26" i="10"/>
  <c r="F26" i="10"/>
  <c r="E26" i="10"/>
  <c r="D26" i="10"/>
  <c r="C26" i="10"/>
  <c r="B26" i="10"/>
  <c r="A26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G25" i="10"/>
  <c r="F25" i="10"/>
  <c r="E25" i="10"/>
  <c r="D25" i="10"/>
  <c r="C25" i="10"/>
  <c r="B25" i="10"/>
  <c r="A25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G24" i="10"/>
  <c r="F24" i="10"/>
  <c r="E24" i="10"/>
  <c r="D24" i="10"/>
  <c r="C24" i="10"/>
  <c r="B24" i="10"/>
  <c r="A24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G23" i="10"/>
  <c r="F23" i="10"/>
  <c r="E23" i="10"/>
  <c r="D23" i="10"/>
  <c r="C23" i="10"/>
  <c r="B23" i="10"/>
  <c r="A23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G22" i="10"/>
  <c r="F22" i="10"/>
  <c r="E22" i="10"/>
  <c r="D22" i="10"/>
  <c r="C22" i="10"/>
  <c r="B22" i="10"/>
  <c r="A22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G21" i="10"/>
  <c r="F21" i="10"/>
  <c r="E21" i="10"/>
  <c r="D21" i="10"/>
  <c r="C21" i="10"/>
  <c r="B21" i="10"/>
  <c r="A21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G20" i="10"/>
  <c r="F20" i="10"/>
  <c r="E20" i="10"/>
  <c r="D20" i="10"/>
  <c r="C20" i="10"/>
  <c r="B20" i="10"/>
  <c r="A20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G19" i="10"/>
  <c r="F19" i="10"/>
  <c r="E19" i="10"/>
  <c r="D19" i="10"/>
  <c r="C19" i="10"/>
  <c r="B19" i="10"/>
  <c r="A19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G18" i="10"/>
  <c r="F18" i="10"/>
  <c r="E18" i="10"/>
  <c r="D18" i="10"/>
  <c r="C18" i="10"/>
  <c r="B18" i="10"/>
  <c r="A18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G17" i="10"/>
  <c r="F17" i="10"/>
  <c r="E17" i="10"/>
  <c r="D17" i="10"/>
  <c r="B17" i="10"/>
  <c r="A17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G16" i="10"/>
  <c r="F16" i="10"/>
  <c r="E16" i="10"/>
  <c r="D16" i="10"/>
  <c r="C16" i="10"/>
  <c r="B16" i="10"/>
  <c r="A16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G15" i="10"/>
  <c r="F15" i="10"/>
  <c r="E15" i="10"/>
  <c r="D15" i="10"/>
  <c r="C15" i="10"/>
  <c r="B15" i="10"/>
  <c r="A15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G14" i="10"/>
  <c r="F14" i="10"/>
  <c r="E14" i="10"/>
  <c r="D14" i="10"/>
  <c r="B14" i="10"/>
  <c r="A14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G13" i="10"/>
  <c r="F13" i="10"/>
  <c r="E13" i="10"/>
  <c r="D13" i="10"/>
  <c r="B13" i="10"/>
  <c r="A13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G12" i="10"/>
  <c r="F12" i="10"/>
  <c r="E12" i="10"/>
  <c r="D12" i="10"/>
  <c r="B12" i="10"/>
  <c r="A12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G11" i="10"/>
  <c r="F11" i="10"/>
  <c r="E11" i="10"/>
  <c r="D11" i="10"/>
  <c r="B11" i="10"/>
  <c r="A11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G10" i="10"/>
  <c r="F10" i="10"/>
  <c r="E10" i="10"/>
  <c r="D10" i="10"/>
  <c r="B10" i="10"/>
  <c r="A10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G9" i="10"/>
  <c r="F9" i="10"/>
  <c r="E9" i="10"/>
  <c r="D9" i="10"/>
  <c r="B9" i="10"/>
  <c r="A9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G8" i="10"/>
  <c r="F8" i="10"/>
  <c r="E8" i="10"/>
  <c r="D8" i="10"/>
  <c r="B8" i="10"/>
  <c r="A8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G7" i="10"/>
  <c r="F7" i="10"/>
  <c r="E7" i="10"/>
  <c r="D7" i="10"/>
  <c r="B7" i="10"/>
  <c r="A7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G6" i="10"/>
  <c r="F6" i="10"/>
  <c r="E6" i="10"/>
  <c r="D6" i="10"/>
  <c r="B6" i="10"/>
  <c r="A6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G5" i="10"/>
  <c r="F5" i="10"/>
  <c r="E5" i="10"/>
  <c r="D5" i="10"/>
  <c r="B5" i="10"/>
  <c r="A5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G4" i="10"/>
  <c r="F4" i="10"/>
  <c r="E4" i="10"/>
  <c r="D4" i="10"/>
  <c r="B4" i="10"/>
  <c r="A4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G3" i="10"/>
  <c r="F3" i="10"/>
  <c r="E3" i="10"/>
  <c r="D3" i="10"/>
  <c r="B3" i="10"/>
  <c r="A3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G2" i="10"/>
  <c r="F2" i="10"/>
  <c r="E2" i="10"/>
  <c r="D2" i="10"/>
  <c r="B2" i="10"/>
  <c r="A2" i="10"/>
  <c r="L186" i="11"/>
  <c r="K186" i="11"/>
  <c r="J186" i="11"/>
  <c r="I186" i="11"/>
  <c r="H186" i="11"/>
  <c r="G186" i="11"/>
  <c r="F186" i="11"/>
  <c r="D186" i="11"/>
  <c r="C186" i="11"/>
  <c r="B186" i="11"/>
  <c r="A186" i="11"/>
  <c r="L185" i="11"/>
  <c r="K185" i="11"/>
  <c r="J185" i="11"/>
  <c r="I185" i="11"/>
  <c r="H185" i="11"/>
  <c r="G185" i="11"/>
  <c r="F185" i="11"/>
  <c r="D185" i="11"/>
  <c r="C185" i="11"/>
  <c r="B185" i="11"/>
  <c r="A185" i="11"/>
  <c r="L184" i="11"/>
  <c r="K184" i="11"/>
  <c r="J184" i="11"/>
  <c r="I184" i="11"/>
  <c r="H184" i="11"/>
  <c r="G184" i="11"/>
  <c r="F184" i="11"/>
  <c r="D184" i="11"/>
  <c r="C184" i="11"/>
  <c r="B184" i="11"/>
  <c r="A184" i="11"/>
  <c r="L183" i="11"/>
  <c r="K183" i="11"/>
  <c r="J183" i="11"/>
  <c r="I183" i="11"/>
  <c r="H183" i="11"/>
  <c r="G183" i="11"/>
  <c r="F183" i="11"/>
  <c r="D183" i="11"/>
  <c r="C183" i="11"/>
  <c r="B183" i="11"/>
  <c r="A183" i="11"/>
  <c r="L182" i="11"/>
  <c r="K182" i="11"/>
  <c r="J182" i="11"/>
  <c r="I182" i="11"/>
  <c r="H182" i="11"/>
  <c r="G182" i="11"/>
  <c r="F182" i="11"/>
  <c r="D182" i="11"/>
  <c r="C182" i="11"/>
  <c r="B182" i="11"/>
  <c r="A182" i="11"/>
  <c r="L181" i="11"/>
  <c r="K181" i="11"/>
  <c r="J181" i="11"/>
  <c r="I181" i="11"/>
  <c r="H181" i="11"/>
  <c r="G181" i="11"/>
  <c r="F181" i="11"/>
  <c r="D181" i="11"/>
  <c r="C181" i="11"/>
  <c r="B181" i="11"/>
  <c r="A181" i="11"/>
  <c r="L180" i="11"/>
  <c r="K180" i="11"/>
  <c r="J180" i="11"/>
  <c r="I180" i="11"/>
  <c r="H180" i="11"/>
  <c r="G180" i="11"/>
  <c r="F180" i="11"/>
  <c r="D180" i="11"/>
  <c r="C180" i="11"/>
  <c r="B180" i="11"/>
  <c r="A180" i="11"/>
  <c r="L179" i="11"/>
  <c r="K179" i="11"/>
  <c r="J179" i="11"/>
  <c r="I179" i="11"/>
  <c r="H179" i="11"/>
  <c r="G179" i="11"/>
  <c r="F179" i="11"/>
  <c r="D179" i="11"/>
  <c r="C179" i="11"/>
  <c r="B179" i="11"/>
  <c r="A179" i="11"/>
  <c r="L178" i="11"/>
  <c r="K178" i="11"/>
  <c r="J178" i="11"/>
  <c r="I178" i="11"/>
  <c r="H178" i="11"/>
  <c r="G178" i="11"/>
  <c r="F178" i="11"/>
  <c r="D178" i="11"/>
  <c r="C178" i="11"/>
  <c r="B178" i="11"/>
  <c r="A178" i="11"/>
  <c r="L177" i="11"/>
  <c r="K177" i="11"/>
  <c r="J177" i="11"/>
  <c r="I177" i="11"/>
  <c r="H177" i="11"/>
  <c r="G177" i="11"/>
  <c r="F177" i="11"/>
  <c r="D177" i="11"/>
  <c r="C177" i="11"/>
  <c r="B177" i="11"/>
  <c r="A177" i="11"/>
  <c r="L176" i="11"/>
  <c r="K176" i="11"/>
  <c r="J176" i="11"/>
  <c r="I176" i="11"/>
  <c r="H176" i="11"/>
  <c r="G176" i="11"/>
  <c r="F176" i="11"/>
  <c r="D176" i="11"/>
  <c r="C176" i="11"/>
  <c r="B176" i="11"/>
  <c r="A176" i="11"/>
  <c r="L175" i="11"/>
  <c r="K175" i="11"/>
  <c r="J175" i="11"/>
  <c r="I175" i="11"/>
  <c r="H175" i="11"/>
  <c r="G175" i="11"/>
  <c r="F175" i="11"/>
  <c r="D175" i="11"/>
  <c r="C175" i="11"/>
  <c r="B175" i="11"/>
  <c r="A175" i="11"/>
  <c r="L174" i="11"/>
  <c r="K174" i="11"/>
  <c r="J174" i="11"/>
  <c r="I174" i="11"/>
  <c r="H174" i="11"/>
  <c r="G174" i="11"/>
  <c r="F174" i="11"/>
  <c r="D174" i="11"/>
  <c r="C174" i="11"/>
  <c r="B174" i="11"/>
  <c r="A174" i="11"/>
  <c r="L173" i="11"/>
  <c r="K173" i="11"/>
  <c r="J173" i="11"/>
  <c r="I173" i="11"/>
  <c r="H173" i="11"/>
  <c r="G173" i="11"/>
  <c r="F173" i="11"/>
  <c r="D173" i="11"/>
  <c r="C173" i="11"/>
  <c r="B173" i="11"/>
  <c r="A173" i="11"/>
  <c r="L172" i="11"/>
  <c r="K172" i="11"/>
  <c r="J172" i="11"/>
  <c r="I172" i="11"/>
  <c r="H172" i="11"/>
  <c r="G172" i="11"/>
  <c r="F172" i="11"/>
  <c r="D172" i="11"/>
  <c r="C172" i="11"/>
  <c r="B172" i="11"/>
  <c r="A172" i="11"/>
  <c r="L171" i="11"/>
  <c r="K171" i="11"/>
  <c r="J171" i="11"/>
  <c r="I171" i="11"/>
  <c r="H171" i="11"/>
  <c r="G171" i="11"/>
  <c r="F171" i="11"/>
  <c r="D171" i="11"/>
  <c r="C171" i="11"/>
  <c r="B171" i="11"/>
  <c r="A171" i="11"/>
  <c r="L170" i="11"/>
  <c r="K170" i="11"/>
  <c r="J170" i="11"/>
  <c r="I170" i="11"/>
  <c r="H170" i="11"/>
  <c r="G170" i="11"/>
  <c r="F170" i="11"/>
  <c r="D170" i="11"/>
  <c r="C170" i="11"/>
  <c r="B170" i="11"/>
  <c r="A170" i="11"/>
  <c r="L169" i="11"/>
  <c r="K169" i="11"/>
  <c r="J169" i="11"/>
  <c r="I169" i="11"/>
  <c r="H169" i="11"/>
  <c r="G169" i="11"/>
  <c r="F169" i="11"/>
  <c r="D169" i="11"/>
  <c r="C169" i="11"/>
  <c r="B169" i="11"/>
  <c r="A169" i="11"/>
  <c r="L168" i="11"/>
  <c r="K168" i="11"/>
  <c r="J168" i="11"/>
  <c r="I168" i="11"/>
  <c r="H168" i="11"/>
  <c r="G168" i="11"/>
  <c r="F168" i="11"/>
  <c r="D168" i="11"/>
  <c r="C168" i="11"/>
  <c r="B168" i="11"/>
  <c r="A168" i="11"/>
  <c r="L167" i="11"/>
  <c r="K167" i="11"/>
  <c r="J167" i="11"/>
  <c r="I167" i="11"/>
  <c r="H167" i="11"/>
  <c r="G167" i="11"/>
  <c r="F167" i="11"/>
  <c r="D167" i="11"/>
  <c r="C167" i="11"/>
  <c r="B167" i="11"/>
  <c r="A167" i="11"/>
  <c r="L166" i="11"/>
  <c r="K166" i="11"/>
  <c r="J166" i="11"/>
  <c r="I166" i="11"/>
  <c r="H166" i="11"/>
  <c r="G166" i="11"/>
  <c r="F166" i="11"/>
  <c r="D166" i="11"/>
  <c r="C166" i="11"/>
  <c r="B166" i="11"/>
  <c r="A166" i="11"/>
  <c r="L165" i="11"/>
  <c r="K165" i="11"/>
  <c r="J165" i="11"/>
  <c r="I165" i="11"/>
  <c r="H165" i="11"/>
  <c r="G165" i="11"/>
  <c r="F165" i="11"/>
  <c r="D165" i="11"/>
  <c r="C165" i="11"/>
  <c r="B165" i="11"/>
  <c r="A165" i="11"/>
  <c r="L164" i="11"/>
  <c r="K164" i="11"/>
  <c r="J164" i="11"/>
  <c r="I164" i="11"/>
  <c r="H164" i="11"/>
  <c r="G164" i="11"/>
  <c r="F164" i="11"/>
  <c r="D164" i="11"/>
  <c r="C164" i="11"/>
  <c r="B164" i="11"/>
  <c r="A164" i="11"/>
  <c r="L163" i="11"/>
  <c r="K163" i="11"/>
  <c r="J163" i="11"/>
  <c r="I163" i="11"/>
  <c r="H163" i="11"/>
  <c r="G163" i="11"/>
  <c r="F163" i="11"/>
  <c r="D163" i="11"/>
  <c r="C163" i="11"/>
  <c r="B163" i="11"/>
  <c r="A163" i="11"/>
  <c r="L162" i="11"/>
  <c r="K162" i="11"/>
  <c r="J162" i="11"/>
  <c r="I162" i="11"/>
  <c r="H162" i="11"/>
  <c r="G162" i="11"/>
  <c r="F162" i="11"/>
  <c r="D162" i="11"/>
  <c r="C162" i="11"/>
  <c r="B162" i="11"/>
  <c r="A162" i="11"/>
  <c r="L161" i="11"/>
  <c r="K161" i="11"/>
  <c r="J161" i="11"/>
  <c r="I161" i="11"/>
  <c r="H161" i="11"/>
  <c r="G161" i="11"/>
  <c r="F161" i="11"/>
  <c r="D161" i="11"/>
  <c r="C161" i="11"/>
  <c r="B161" i="11"/>
  <c r="A161" i="11"/>
  <c r="L160" i="11"/>
  <c r="K160" i="11"/>
  <c r="J160" i="11"/>
  <c r="I160" i="11"/>
  <c r="H160" i="11"/>
  <c r="G160" i="11"/>
  <c r="F160" i="11"/>
  <c r="D160" i="11"/>
  <c r="C160" i="11"/>
  <c r="B160" i="11"/>
  <c r="A160" i="11"/>
  <c r="L159" i="11"/>
  <c r="K159" i="11"/>
  <c r="J159" i="11"/>
  <c r="I159" i="11"/>
  <c r="H159" i="11"/>
  <c r="G159" i="11"/>
  <c r="F159" i="11"/>
  <c r="D159" i="11"/>
  <c r="C159" i="11"/>
  <c r="B159" i="11"/>
  <c r="A159" i="11"/>
  <c r="L158" i="11"/>
  <c r="K158" i="11"/>
  <c r="J158" i="11"/>
  <c r="I158" i="11"/>
  <c r="H158" i="11"/>
  <c r="G158" i="11"/>
  <c r="F158" i="11"/>
  <c r="D158" i="11"/>
  <c r="C158" i="11"/>
  <c r="B158" i="11"/>
  <c r="A158" i="11"/>
  <c r="L157" i="11"/>
  <c r="K157" i="11"/>
  <c r="J157" i="11"/>
  <c r="I157" i="11"/>
  <c r="H157" i="11"/>
  <c r="G157" i="11"/>
  <c r="F157" i="11"/>
  <c r="D157" i="11"/>
  <c r="C157" i="11"/>
  <c r="B157" i="11"/>
  <c r="A157" i="11"/>
  <c r="L156" i="11"/>
  <c r="K156" i="11"/>
  <c r="J156" i="11"/>
  <c r="I156" i="11"/>
  <c r="H156" i="11"/>
  <c r="G156" i="11"/>
  <c r="F156" i="11"/>
  <c r="D156" i="11"/>
  <c r="C156" i="11"/>
  <c r="B156" i="11"/>
  <c r="A156" i="11"/>
  <c r="L155" i="11"/>
  <c r="K155" i="11"/>
  <c r="J155" i="11"/>
  <c r="I155" i="11"/>
  <c r="H155" i="11"/>
  <c r="G155" i="11"/>
  <c r="F155" i="11"/>
  <c r="D155" i="11"/>
  <c r="C155" i="11"/>
  <c r="B155" i="11"/>
  <c r="A155" i="11"/>
  <c r="L154" i="11"/>
  <c r="K154" i="11"/>
  <c r="J154" i="11"/>
  <c r="I154" i="11"/>
  <c r="H154" i="11"/>
  <c r="G154" i="11"/>
  <c r="F154" i="11"/>
  <c r="D154" i="11"/>
  <c r="C154" i="11"/>
  <c r="B154" i="11"/>
  <c r="A154" i="11"/>
  <c r="L153" i="11"/>
  <c r="K153" i="11"/>
  <c r="J153" i="11"/>
  <c r="I153" i="11"/>
  <c r="H153" i="11"/>
  <c r="G153" i="11"/>
  <c r="F153" i="11"/>
  <c r="D153" i="11"/>
  <c r="C153" i="11"/>
  <c r="B153" i="11"/>
  <c r="A153" i="11"/>
  <c r="L152" i="11"/>
  <c r="K152" i="11"/>
  <c r="J152" i="11"/>
  <c r="I152" i="11"/>
  <c r="H152" i="11"/>
  <c r="G152" i="11"/>
  <c r="F152" i="11"/>
  <c r="D152" i="11"/>
  <c r="C152" i="11"/>
  <c r="B152" i="11"/>
  <c r="A152" i="11"/>
  <c r="L151" i="11"/>
  <c r="K151" i="11"/>
  <c r="J151" i="11"/>
  <c r="I151" i="11"/>
  <c r="H151" i="11"/>
  <c r="G151" i="11"/>
  <c r="F151" i="11"/>
  <c r="D151" i="11"/>
  <c r="C151" i="11"/>
  <c r="B151" i="11"/>
  <c r="A151" i="11"/>
  <c r="L150" i="11"/>
  <c r="K150" i="11"/>
  <c r="J150" i="11"/>
  <c r="I150" i="11"/>
  <c r="H150" i="11"/>
  <c r="G150" i="11"/>
  <c r="F150" i="11"/>
  <c r="D150" i="11"/>
  <c r="C150" i="11"/>
  <c r="B150" i="11"/>
  <c r="A150" i="11"/>
  <c r="L149" i="11"/>
  <c r="K149" i="11"/>
  <c r="J149" i="11"/>
  <c r="I149" i="11"/>
  <c r="H149" i="11"/>
  <c r="G149" i="11"/>
  <c r="F149" i="11"/>
  <c r="D149" i="11"/>
  <c r="C149" i="11"/>
  <c r="B149" i="11"/>
  <c r="A149" i="11"/>
  <c r="L148" i="11"/>
  <c r="K148" i="11"/>
  <c r="J148" i="11"/>
  <c r="I148" i="11"/>
  <c r="H148" i="11"/>
  <c r="G148" i="11"/>
  <c r="F148" i="11"/>
  <c r="D148" i="11"/>
  <c r="C148" i="11"/>
  <c r="B148" i="11"/>
  <c r="A148" i="11"/>
  <c r="L147" i="11"/>
  <c r="K147" i="11"/>
  <c r="J147" i="11"/>
  <c r="I147" i="11"/>
  <c r="H147" i="11"/>
  <c r="G147" i="11"/>
  <c r="F147" i="11"/>
  <c r="D147" i="11"/>
  <c r="C147" i="11"/>
  <c r="B147" i="11"/>
  <c r="A147" i="11"/>
  <c r="L146" i="11"/>
  <c r="K146" i="11"/>
  <c r="J146" i="11"/>
  <c r="I146" i="11"/>
  <c r="H146" i="11"/>
  <c r="G146" i="11"/>
  <c r="F146" i="11"/>
  <c r="D146" i="11"/>
  <c r="C146" i="11"/>
  <c r="B146" i="11"/>
  <c r="A146" i="11"/>
  <c r="L145" i="11"/>
  <c r="K145" i="11"/>
  <c r="J145" i="11"/>
  <c r="I145" i="11"/>
  <c r="H145" i="11"/>
  <c r="G145" i="11"/>
  <c r="F145" i="11"/>
  <c r="D145" i="11"/>
  <c r="C145" i="11"/>
  <c r="B145" i="11"/>
  <c r="A145" i="11"/>
  <c r="L144" i="11"/>
  <c r="K144" i="11"/>
  <c r="J144" i="11"/>
  <c r="I144" i="11"/>
  <c r="H144" i="11"/>
  <c r="G144" i="11"/>
  <c r="F144" i="11"/>
  <c r="D144" i="11"/>
  <c r="C144" i="11"/>
  <c r="B144" i="11"/>
  <c r="A144" i="11"/>
  <c r="L143" i="11"/>
  <c r="K143" i="11"/>
  <c r="J143" i="11"/>
  <c r="I143" i="11"/>
  <c r="H143" i="11"/>
  <c r="G143" i="11"/>
  <c r="F143" i="11"/>
  <c r="D143" i="11"/>
  <c r="C143" i="11"/>
  <c r="B143" i="11"/>
  <c r="A143" i="11"/>
  <c r="L142" i="11"/>
  <c r="K142" i="11"/>
  <c r="J142" i="11"/>
  <c r="I142" i="11"/>
  <c r="H142" i="11"/>
  <c r="G142" i="11"/>
  <c r="F142" i="11"/>
  <c r="D142" i="11"/>
  <c r="C142" i="11"/>
  <c r="B142" i="11"/>
  <c r="A142" i="11"/>
  <c r="L141" i="11"/>
  <c r="K141" i="11"/>
  <c r="J141" i="11"/>
  <c r="I141" i="11"/>
  <c r="H141" i="11"/>
  <c r="G141" i="11"/>
  <c r="F141" i="11"/>
  <c r="D141" i="11"/>
  <c r="C141" i="11"/>
  <c r="B141" i="11"/>
  <c r="A141" i="11"/>
  <c r="L140" i="11"/>
  <c r="K140" i="11"/>
  <c r="J140" i="11"/>
  <c r="I140" i="11"/>
  <c r="H140" i="11"/>
  <c r="G140" i="11"/>
  <c r="F140" i="11"/>
  <c r="D140" i="11"/>
  <c r="C140" i="11"/>
  <c r="B140" i="11"/>
  <c r="A140" i="11"/>
  <c r="L139" i="11"/>
  <c r="K139" i="11"/>
  <c r="J139" i="11"/>
  <c r="I139" i="11"/>
  <c r="H139" i="11"/>
  <c r="G139" i="11"/>
  <c r="F139" i="11"/>
  <c r="D139" i="11"/>
  <c r="C139" i="11"/>
  <c r="B139" i="11"/>
  <c r="A139" i="11"/>
  <c r="L138" i="11"/>
  <c r="K138" i="11"/>
  <c r="J138" i="11"/>
  <c r="I138" i="11"/>
  <c r="H138" i="11"/>
  <c r="G138" i="11"/>
  <c r="F138" i="11"/>
  <c r="D138" i="11"/>
  <c r="C138" i="11"/>
  <c r="B138" i="11"/>
  <c r="A138" i="11"/>
  <c r="L137" i="11"/>
  <c r="K137" i="11"/>
  <c r="J137" i="11"/>
  <c r="I137" i="11"/>
  <c r="H137" i="11"/>
  <c r="G137" i="11"/>
  <c r="F137" i="11"/>
  <c r="D137" i="11"/>
  <c r="C137" i="11"/>
  <c r="B137" i="11"/>
  <c r="A137" i="11"/>
  <c r="L136" i="11"/>
  <c r="K136" i="11"/>
  <c r="J136" i="11"/>
  <c r="I136" i="11"/>
  <c r="H136" i="11"/>
  <c r="G136" i="11"/>
  <c r="F136" i="11"/>
  <c r="D136" i="11"/>
  <c r="C136" i="11"/>
  <c r="B136" i="11"/>
  <c r="A136" i="11"/>
  <c r="L135" i="11"/>
  <c r="K135" i="11"/>
  <c r="J135" i="11"/>
  <c r="I135" i="11"/>
  <c r="H135" i="11"/>
  <c r="G135" i="11"/>
  <c r="F135" i="11"/>
  <c r="D135" i="11"/>
  <c r="C135" i="11"/>
  <c r="B135" i="11"/>
  <c r="A135" i="11"/>
  <c r="L134" i="11"/>
  <c r="K134" i="11"/>
  <c r="J134" i="11"/>
  <c r="I134" i="11"/>
  <c r="H134" i="11"/>
  <c r="G134" i="11"/>
  <c r="F134" i="11"/>
  <c r="D134" i="11"/>
  <c r="C134" i="11"/>
  <c r="B134" i="11"/>
  <c r="A134" i="11"/>
  <c r="L133" i="11"/>
  <c r="K133" i="11"/>
  <c r="J133" i="11"/>
  <c r="I133" i="11"/>
  <c r="H133" i="11"/>
  <c r="G133" i="11"/>
  <c r="F133" i="11"/>
  <c r="D133" i="11"/>
  <c r="C133" i="11"/>
  <c r="B133" i="11"/>
  <c r="A133" i="11"/>
  <c r="L132" i="11"/>
  <c r="K132" i="11"/>
  <c r="J132" i="11"/>
  <c r="I132" i="11"/>
  <c r="H132" i="11"/>
  <c r="G132" i="11"/>
  <c r="F132" i="11"/>
  <c r="D132" i="11"/>
  <c r="C132" i="11"/>
  <c r="B132" i="11"/>
  <c r="A132" i="11"/>
  <c r="L131" i="11"/>
  <c r="K131" i="11"/>
  <c r="J131" i="11"/>
  <c r="I131" i="11"/>
  <c r="H131" i="11"/>
  <c r="G131" i="11"/>
  <c r="F131" i="11"/>
  <c r="D131" i="11"/>
  <c r="C131" i="11"/>
  <c r="B131" i="11"/>
  <c r="A131" i="11"/>
  <c r="L130" i="11"/>
  <c r="K130" i="11"/>
  <c r="J130" i="11"/>
  <c r="I130" i="11"/>
  <c r="H130" i="11"/>
  <c r="G130" i="11"/>
  <c r="F130" i="11"/>
  <c r="D130" i="11"/>
  <c r="C130" i="11"/>
  <c r="B130" i="11"/>
  <c r="A130" i="11"/>
  <c r="L129" i="11"/>
  <c r="K129" i="11"/>
  <c r="J129" i="11"/>
  <c r="I129" i="11"/>
  <c r="H129" i="11"/>
  <c r="G129" i="11"/>
  <c r="F129" i="11"/>
  <c r="D129" i="11"/>
  <c r="C129" i="11"/>
  <c r="B129" i="11"/>
  <c r="A129" i="11"/>
  <c r="L128" i="11"/>
  <c r="K128" i="11"/>
  <c r="J128" i="11"/>
  <c r="I128" i="11"/>
  <c r="H128" i="11"/>
  <c r="G128" i="11"/>
  <c r="F128" i="11"/>
  <c r="D128" i="11"/>
  <c r="C128" i="11"/>
  <c r="B128" i="11"/>
  <c r="A128" i="11"/>
  <c r="L127" i="11"/>
  <c r="K127" i="11"/>
  <c r="J127" i="11"/>
  <c r="I127" i="11"/>
  <c r="H127" i="11"/>
  <c r="G127" i="11"/>
  <c r="F127" i="11"/>
  <c r="D127" i="11"/>
  <c r="C127" i="11"/>
  <c r="B127" i="11"/>
  <c r="A127" i="11"/>
  <c r="L126" i="11"/>
  <c r="K126" i="11"/>
  <c r="J126" i="11"/>
  <c r="I126" i="11"/>
  <c r="H126" i="11"/>
  <c r="G126" i="11"/>
  <c r="F126" i="11"/>
  <c r="D126" i="11"/>
  <c r="C126" i="11"/>
  <c r="B126" i="11"/>
  <c r="A126" i="11"/>
  <c r="L125" i="11"/>
  <c r="K125" i="11"/>
  <c r="J125" i="11"/>
  <c r="I125" i="11"/>
  <c r="H125" i="11"/>
  <c r="G125" i="11"/>
  <c r="F125" i="11"/>
  <c r="D125" i="11"/>
  <c r="C125" i="11"/>
  <c r="B125" i="11"/>
  <c r="A125" i="11"/>
  <c r="L124" i="11"/>
  <c r="K124" i="11"/>
  <c r="J124" i="11"/>
  <c r="I124" i="11"/>
  <c r="H124" i="11"/>
  <c r="G124" i="11"/>
  <c r="F124" i="11"/>
  <c r="D124" i="11"/>
  <c r="C124" i="11"/>
  <c r="B124" i="11"/>
  <c r="A124" i="11"/>
  <c r="L123" i="11"/>
  <c r="K123" i="11"/>
  <c r="J123" i="11"/>
  <c r="I123" i="11"/>
  <c r="H123" i="11"/>
  <c r="G123" i="11"/>
  <c r="F123" i="11"/>
  <c r="D123" i="11"/>
  <c r="C123" i="11"/>
  <c r="B123" i="11"/>
  <c r="A123" i="11"/>
  <c r="L122" i="11"/>
  <c r="K122" i="11"/>
  <c r="J122" i="11"/>
  <c r="I122" i="11"/>
  <c r="H122" i="11"/>
  <c r="G122" i="11"/>
  <c r="F122" i="11"/>
  <c r="D122" i="11"/>
  <c r="C122" i="11"/>
  <c r="B122" i="11"/>
  <c r="A122" i="11"/>
  <c r="L121" i="11"/>
  <c r="K121" i="11"/>
  <c r="J121" i="11"/>
  <c r="I121" i="11"/>
  <c r="H121" i="11"/>
  <c r="G121" i="11"/>
  <c r="F121" i="11"/>
  <c r="D121" i="11"/>
  <c r="C121" i="11"/>
  <c r="B121" i="11"/>
  <c r="A121" i="11"/>
  <c r="L120" i="11"/>
  <c r="K120" i="11"/>
  <c r="J120" i="11"/>
  <c r="I120" i="11"/>
  <c r="H120" i="11"/>
  <c r="G120" i="11"/>
  <c r="F120" i="11"/>
  <c r="D120" i="11"/>
  <c r="C120" i="11"/>
  <c r="B120" i="11"/>
  <c r="A120" i="11"/>
  <c r="L119" i="11"/>
  <c r="K119" i="11"/>
  <c r="J119" i="11"/>
  <c r="I119" i="11"/>
  <c r="H119" i="11"/>
  <c r="G119" i="11"/>
  <c r="F119" i="11"/>
  <c r="D119" i="11"/>
  <c r="C119" i="11"/>
  <c r="B119" i="11"/>
  <c r="A119" i="11"/>
  <c r="L118" i="11"/>
  <c r="K118" i="11"/>
  <c r="J118" i="11"/>
  <c r="I118" i="11"/>
  <c r="H118" i="11"/>
  <c r="G118" i="11"/>
  <c r="F118" i="11"/>
  <c r="D118" i="11"/>
  <c r="C118" i="11"/>
  <c r="B118" i="11"/>
  <c r="A118" i="11"/>
  <c r="L117" i="11"/>
  <c r="K117" i="11"/>
  <c r="J117" i="11"/>
  <c r="I117" i="11"/>
  <c r="H117" i="11"/>
  <c r="G117" i="11"/>
  <c r="F117" i="11"/>
  <c r="D117" i="11"/>
  <c r="C117" i="11"/>
  <c r="B117" i="11"/>
  <c r="A117" i="11"/>
  <c r="L116" i="11"/>
  <c r="K116" i="11"/>
  <c r="J116" i="11"/>
  <c r="I116" i="11"/>
  <c r="H116" i="11"/>
  <c r="G116" i="11"/>
  <c r="F116" i="11"/>
  <c r="D116" i="11"/>
  <c r="C116" i="11"/>
  <c r="B116" i="11"/>
  <c r="A116" i="11"/>
  <c r="L115" i="11"/>
  <c r="K115" i="11"/>
  <c r="J115" i="11"/>
  <c r="I115" i="11"/>
  <c r="H115" i="11"/>
  <c r="G115" i="11"/>
  <c r="F115" i="11"/>
  <c r="D115" i="11"/>
  <c r="C115" i="11"/>
  <c r="B115" i="11"/>
  <c r="A115" i="11"/>
  <c r="L114" i="11"/>
  <c r="K114" i="11"/>
  <c r="J114" i="11"/>
  <c r="I114" i="11"/>
  <c r="H114" i="11"/>
  <c r="G114" i="11"/>
  <c r="F114" i="11"/>
  <c r="D114" i="11"/>
  <c r="C114" i="11"/>
  <c r="B114" i="11"/>
  <c r="A114" i="11"/>
  <c r="L113" i="11"/>
  <c r="K113" i="11"/>
  <c r="J113" i="11"/>
  <c r="I113" i="11"/>
  <c r="H113" i="11"/>
  <c r="G113" i="11"/>
  <c r="F113" i="11"/>
  <c r="D113" i="11"/>
  <c r="C113" i="11"/>
  <c r="B113" i="11"/>
  <c r="A113" i="11"/>
  <c r="L112" i="11"/>
  <c r="K112" i="11"/>
  <c r="J112" i="11"/>
  <c r="I112" i="11"/>
  <c r="H112" i="11"/>
  <c r="G112" i="11"/>
  <c r="F112" i="11"/>
  <c r="D112" i="11"/>
  <c r="C112" i="11"/>
  <c r="B112" i="11"/>
  <c r="A112" i="11"/>
  <c r="L111" i="11"/>
  <c r="K111" i="11"/>
  <c r="J111" i="11"/>
  <c r="I111" i="11"/>
  <c r="H111" i="11"/>
  <c r="G111" i="11"/>
  <c r="F111" i="11"/>
  <c r="D111" i="11"/>
  <c r="C111" i="11"/>
  <c r="B111" i="11"/>
  <c r="A111" i="11"/>
  <c r="L110" i="11"/>
  <c r="K110" i="11"/>
  <c r="J110" i="11"/>
  <c r="I110" i="11"/>
  <c r="H110" i="11"/>
  <c r="G110" i="11"/>
  <c r="F110" i="11"/>
  <c r="D110" i="11"/>
  <c r="C110" i="11"/>
  <c r="B110" i="11"/>
  <c r="A110" i="11"/>
  <c r="L109" i="11"/>
  <c r="K109" i="11"/>
  <c r="J109" i="11"/>
  <c r="I109" i="11"/>
  <c r="H109" i="11"/>
  <c r="G109" i="11"/>
  <c r="F109" i="11"/>
  <c r="D109" i="11"/>
  <c r="C109" i="11"/>
  <c r="B109" i="11"/>
  <c r="A109" i="11"/>
  <c r="L108" i="11"/>
  <c r="K108" i="11"/>
  <c r="J108" i="11"/>
  <c r="I108" i="11"/>
  <c r="H108" i="11"/>
  <c r="G108" i="11"/>
  <c r="F108" i="11"/>
  <c r="D108" i="11"/>
  <c r="C108" i="11"/>
  <c r="B108" i="11"/>
  <c r="A108" i="11"/>
  <c r="L107" i="11"/>
  <c r="K107" i="11"/>
  <c r="J107" i="11"/>
  <c r="I107" i="11"/>
  <c r="H107" i="11"/>
  <c r="G107" i="11"/>
  <c r="F107" i="11"/>
  <c r="D107" i="11"/>
  <c r="C107" i="11"/>
  <c r="B107" i="11"/>
  <c r="A107" i="11"/>
  <c r="L106" i="11"/>
  <c r="K106" i="11"/>
  <c r="J106" i="11"/>
  <c r="I106" i="11"/>
  <c r="H106" i="11"/>
  <c r="G106" i="11"/>
  <c r="F106" i="11"/>
  <c r="D106" i="11"/>
  <c r="C106" i="11"/>
  <c r="B106" i="11"/>
  <c r="A106" i="11"/>
  <c r="L105" i="11"/>
  <c r="K105" i="11"/>
  <c r="J105" i="11"/>
  <c r="I105" i="11"/>
  <c r="H105" i="11"/>
  <c r="G105" i="11"/>
  <c r="F105" i="11"/>
  <c r="D105" i="11"/>
  <c r="C105" i="11"/>
  <c r="B105" i="11"/>
  <c r="A105" i="11"/>
  <c r="L104" i="11"/>
  <c r="K104" i="11"/>
  <c r="J104" i="11"/>
  <c r="I104" i="11"/>
  <c r="H104" i="11"/>
  <c r="G104" i="11"/>
  <c r="F104" i="11"/>
  <c r="D104" i="11"/>
  <c r="C104" i="11"/>
  <c r="B104" i="11"/>
  <c r="A104" i="11"/>
  <c r="L103" i="11"/>
  <c r="K103" i="11"/>
  <c r="J103" i="11"/>
  <c r="I103" i="11"/>
  <c r="H103" i="11"/>
  <c r="G103" i="11"/>
  <c r="F103" i="11"/>
  <c r="D103" i="11"/>
  <c r="C103" i="11"/>
  <c r="B103" i="11"/>
  <c r="A103" i="11"/>
  <c r="L102" i="11"/>
  <c r="K102" i="11"/>
  <c r="J102" i="11"/>
  <c r="I102" i="11"/>
  <c r="H102" i="11"/>
  <c r="G102" i="11"/>
  <c r="F102" i="11"/>
  <c r="D102" i="11"/>
  <c r="C102" i="11"/>
  <c r="B102" i="11"/>
  <c r="A102" i="11"/>
  <c r="L101" i="11"/>
  <c r="K101" i="11"/>
  <c r="J101" i="11"/>
  <c r="I101" i="11"/>
  <c r="H101" i="11"/>
  <c r="G101" i="11"/>
  <c r="F101" i="11"/>
  <c r="D101" i="11"/>
  <c r="C101" i="11"/>
  <c r="B101" i="11"/>
  <c r="A101" i="11"/>
  <c r="L100" i="11"/>
  <c r="K100" i="11"/>
  <c r="J100" i="11"/>
  <c r="I100" i="11"/>
  <c r="H100" i="11"/>
  <c r="G100" i="11"/>
  <c r="F100" i="11"/>
  <c r="D100" i="11"/>
  <c r="C100" i="11"/>
  <c r="B100" i="11"/>
  <c r="A100" i="11"/>
  <c r="L99" i="11"/>
  <c r="K99" i="11"/>
  <c r="J99" i="11"/>
  <c r="I99" i="11"/>
  <c r="H99" i="11"/>
  <c r="G99" i="11"/>
  <c r="F99" i="11"/>
  <c r="D99" i="11"/>
  <c r="C99" i="11"/>
  <c r="B99" i="11"/>
  <c r="A99" i="11"/>
  <c r="L98" i="11"/>
  <c r="K98" i="11"/>
  <c r="J98" i="11"/>
  <c r="I98" i="11"/>
  <c r="H98" i="11"/>
  <c r="G98" i="11"/>
  <c r="F98" i="11"/>
  <c r="D98" i="11"/>
  <c r="C98" i="11"/>
  <c r="B98" i="11"/>
  <c r="A98" i="11"/>
  <c r="L97" i="11"/>
  <c r="K97" i="11"/>
  <c r="J97" i="11"/>
  <c r="I97" i="11"/>
  <c r="H97" i="11"/>
  <c r="G97" i="11"/>
  <c r="F97" i="11"/>
  <c r="D97" i="11"/>
  <c r="C97" i="11"/>
  <c r="B97" i="11"/>
  <c r="A97" i="11"/>
  <c r="L96" i="11"/>
  <c r="K96" i="11"/>
  <c r="J96" i="11"/>
  <c r="I96" i="11"/>
  <c r="H96" i="11"/>
  <c r="G96" i="11"/>
  <c r="F96" i="11"/>
  <c r="D96" i="11"/>
  <c r="C96" i="11"/>
  <c r="B96" i="11"/>
  <c r="A96" i="11"/>
  <c r="L95" i="11"/>
  <c r="K95" i="11"/>
  <c r="J95" i="11"/>
  <c r="I95" i="11"/>
  <c r="H95" i="11"/>
  <c r="G95" i="11"/>
  <c r="F95" i="11"/>
  <c r="D95" i="11"/>
  <c r="C95" i="11"/>
  <c r="B95" i="11"/>
  <c r="A95" i="11"/>
  <c r="L94" i="11"/>
  <c r="K94" i="11"/>
  <c r="J94" i="11"/>
  <c r="I94" i="11"/>
  <c r="H94" i="11"/>
  <c r="G94" i="11"/>
  <c r="F94" i="11"/>
  <c r="D94" i="11"/>
  <c r="C94" i="11"/>
  <c r="B94" i="11"/>
  <c r="A94" i="11"/>
  <c r="L93" i="11"/>
  <c r="K93" i="11"/>
  <c r="J93" i="11"/>
  <c r="I93" i="11"/>
  <c r="H93" i="11"/>
  <c r="G93" i="11"/>
  <c r="F93" i="11"/>
  <c r="D93" i="11"/>
  <c r="C93" i="11"/>
  <c r="B93" i="11"/>
  <c r="A93" i="11"/>
  <c r="L92" i="11"/>
  <c r="K92" i="11"/>
  <c r="J92" i="11"/>
  <c r="I92" i="11"/>
  <c r="H92" i="11"/>
  <c r="G92" i="11"/>
  <c r="F92" i="11"/>
  <c r="D92" i="11"/>
  <c r="C92" i="11"/>
  <c r="B92" i="11"/>
  <c r="A92" i="11"/>
  <c r="L91" i="11"/>
  <c r="K91" i="11"/>
  <c r="J91" i="11"/>
  <c r="I91" i="11"/>
  <c r="H91" i="11"/>
  <c r="G91" i="11"/>
  <c r="F91" i="11"/>
  <c r="D91" i="11"/>
  <c r="C91" i="11"/>
  <c r="B91" i="11"/>
  <c r="A91" i="11"/>
  <c r="L90" i="11"/>
  <c r="K90" i="11"/>
  <c r="J90" i="11"/>
  <c r="I90" i="11"/>
  <c r="H90" i="11"/>
  <c r="G90" i="11"/>
  <c r="F90" i="11"/>
  <c r="D90" i="11"/>
  <c r="C90" i="11"/>
  <c r="B90" i="11"/>
  <c r="A90" i="11"/>
  <c r="L89" i="11"/>
  <c r="K89" i="11"/>
  <c r="J89" i="11"/>
  <c r="I89" i="11"/>
  <c r="H89" i="11"/>
  <c r="G89" i="11"/>
  <c r="F89" i="11"/>
  <c r="D89" i="11"/>
  <c r="C89" i="11"/>
  <c r="B89" i="11"/>
  <c r="A89" i="11"/>
  <c r="L88" i="11"/>
  <c r="K88" i="11"/>
  <c r="J88" i="11"/>
  <c r="I88" i="11"/>
  <c r="H88" i="11"/>
  <c r="G88" i="11"/>
  <c r="F88" i="11"/>
  <c r="D88" i="11"/>
  <c r="C88" i="11"/>
  <c r="B88" i="11"/>
  <c r="A88" i="11"/>
  <c r="L87" i="11"/>
  <c r="K87" i="11"/>
  <c r="J87" i="11"/>
  <c r="I87" i="11"/>
  <c r="H87" i="11"/>
  <c r="G87" i="11"/>
  <c r="F87" i="11"/>
  <c r="D87" i="11"/>
  <c r="C87" i="11"/>
  <c r="B87" i="11"/>
  <c r="A87" i="11"/>
  <c r="L86" i="11"/>
  <c r="K86" i="11"/>
  <c r="J86" i="11"/>
  <c r="I86" i="11"/>
  <c r="H86" i="11"/>
  <c r="G86" i="11"/>
  <c r="F86" i="11"/>
  <c r="D86" i="11"/>
  <c r="C86" i="11"/>
  <c r="B86" i="11"/>
  <c r="A86" i="11"/>
  <c r="L85" i="11"/>
  <c r="K85" i="11"/>
  <c r="J85" i="11"/>
  <c r="I85" i="11"/>
  <c r="H85" i="11"/>
  <c r="G85" i="11"/>
  <c r="F85" i="11"/>
  <c r="D85" i="11"/>
  <c r="C85" i="11"/>
  <c r="B85" i="11"/>
  <c r="A85" i="11"/>
  <c r="L84" i="11"/>
  <c r="K84" i="11"/>
  <c r="J84" i="11"/>
  <c r="I84" i="11"/>
  <c r="H84" i="11"/>
  <c r="G84" i="11"/>
  <c r="F84" i="11"/>
  <c r="D84" i="11"/>
  <c r="C84" i="11"/>
  <c r="B84" i="11"/>
  <c r="A84" i="11"/>
  <c r="L83" i="11"/>
  <c r="K83" i="11"/>
  <c r="J83" i="11"/>
  <c r="I83" i="11"/>
  <c r="H83" i="11"/>
  <c r="G83" i="11"/>
  <c r="F83" i="11"/>
  <c r="D83" i="11"/>
  <c r="C83" i="11"/>
  <c r="B83" i="11"/>
  <c r="A83" i="11"/>
  <c r="L82" i="11"/>
  <c r="K82" i="11"/>
  <c r="J82" i="11"/>
  <c r="I82" i="11"/>
  <c r="H82" i="11"/>
  <c r="G82" i="11"/>
  <c r="F82" i="11"/>
  <c r="D82" i="11"/>
  <c r="C82" i="11"/>
  <c r="B82" i="11"/>
  <c r="A82" i="11"/>
  <c r="L81" i="11"/>
  <c r="K81" i="11"/>
  <c r="J81" i="11"/>
  <c r="I81" i="11"/>
  <c r="H81" i="11"/>
  <c r="G81" i="11"/>
  <c r="F81" i="11"/>
  <c r="D81" i="11"/>
  <c r="C81" i="11"/>
  <c r="B81" i="11"/>
  <c r="A81" i="11"/>
  <c r="L80" i="11"/>
  <c r="K80" i="11"/>
  <c r="J80" i="11"/>
  <c r="I80" i="11"/>
  <c r="H80" i="11"/>
  <c r="G80" i="11"/>
  <c r="F80" i="11"/>
  <c r="D80" i="11"/>
  <c r="C80" i="11"/>
  <c r="B80" i="11"/>
  <c r="A80" i="11"/>
  <c r="L79" i="11"/>
  <c r="K79" i="11"/>
  <c r="J79" i="11"/>
  <c r="I79" i="11"/>
  <c r="H79" i="11"/>
  <c r="G79" i="11"/>
  <c r="F79" i="11"/>
  <c r="D79" i="11"/>
  <c r="C79" i="11"/>
  <c r="B79" i="11"/>
  <c r="A79" i="11"/>
  <c r="L78" i="11"/>
  <c r="K78" i="11"/>
  <c r="J78" i="11"/>
  <c r="I78" i="11"/>
  <c r="H78" i="11"/>
  <c r="G78" i="11"/>
  <c r="F78" i="11"/>
  <c r="D78" i="11"/>
  <c r="C78" i="11"/>
  <c r="B78" i="11"/>
  <c r="A78" i="11"/>
  <c r="L77" i="11"/>
  <c r="K77" i="11"/>
  <c r="J77" i="11"/>
  <c r="I77" i="11"/>
  <c r="H77" i="11"/>
  <c r="G77" i="11"/>
  <c r="F77" i="11"/>
  <c r="D77" i="11"/>
  <c r="C77" i="11"/>
  <c r="B77" i="11"/>
  <c r="A77" i="11"/>
  <c r="L76" i="11"/>
  <c r="K76" i="11"/>
  <c r="J76" i="11"/>
  <c r="I76" i="11"/>
  <c r="H76" i="11"/>
  <c r="G76" i="11"/>
  <c r="F76" i="11"/>
  <c r="D76" i="11"/>
  <c r="C76" i="11"/>
  <c r="B76" i="11"/>
  <c r="A76" i="11"/>
  <c r="L75" i="11"/>
  <c r="K75" i="11"/>
  <c r="J75" i="11"/>
  <c r="I75" i="11"/>
  <c r="H75" i="11"/>
  <c r="G75" i="11"/>
  <c r="F75" i="11"/>
  <c r="D75" i="11"/>
  <c r="C75" i="11"/>
  <c r="B75" i="11"/>
  <c r="A75" i="11"/>
  <c r="L74" i="11"/>
  <c r="K74" i="11"/>
  <c r="J74" i="11"/>
  <c r="I74" i="11"/>
  <c r="H74" i="11"/>
  <c r="G74" i="11"/>
  <c r="F74" i="11"/>
  <c r="D74" i="11"/>
  <c r="C74" i="11"/>
  <c r="B74" i="11"/>
  <c r="A74" i="11"/>
  <c r="L73" i="11"/>
  <c r="K73" i="11"/>
  <c r="J73" i="11"/>
  <c r="I73" i="11"/>
  <c r="H73" i="11"/>
  <c r="G73" i="11"/>
  <c r="F73" i="11"/>
  <c r="D73" i="11"/>
  <c r="C73" i="11"/>
  <c r="B73" i="11"/>
  <c r="A73" i="11"/>
  <c r="L72" i="11"/>
  <c r="K72" i="11"/>
  <c r="J72" i="11"/>
  <c r="I72" i="11"/>
  <c r="H72" i="11"/>
  <c r="G72" i="11"/>
  <c r="F72" i="11"/>
  <c r="D72" i="11"/>
  <c r="C72" i="11"/>
  <c r="B72" i="11"/>
  <c r="A72" i="11"/>
  <c r="L71" i="11"/>
  <c r="K71" i="11"/>
  <c r="J71" i="11"/>
  <c r="I71" i="11"/>
  <c r="H71" i="11"/>
  <c r="G71" i="11"/>
  <c r="F71" i="11"/>
  <c r="D71" i="11"/>
  <c r="C71" i="11"/>
  <c r="B71" i="11"/>
  <c r="A71" i="11"/>
  <c r="L70" i="11"/>
  <c r="K70" i="11"/>
  <c r="J70" i="11"/>
  <c r="I70" i="11"/>
  <c r="H70" i="11"/>
  <c r="G70" i="11"/>
  <c r="F70" i="11"/>
  <c r="D70" i="11"/>
  <c r="C70" i="11"/>
  <c r="B70" i="11"/>
  <c r="A70" i="11"/>
  <c r="L69" i="11"/>
  <c r="K69" i="11"/>
  <c r="J69" i="11"/>
  <c r="I69" i="11"/>
  <c r="H69" i="11"/>
  <c r="G69" i="11"/>
  <c r="F69" i="11"/>
  <c r="D69" i="11"/>
  <c r="C69" i="11"/>
  <c r="B69" i="11"/>
  <c r="A69" i="11"/>
  <c r="L68" i="11"/>
  <c r="K68" i="11"/>
  <c r="J68" i="11"/>
  <c r="I68" i="11"/>
  <c r="H68" i="11"/>
  <c r="G68" i="11"/>
  <c r="F68" i="11"/>
  <c r="D68" i="11"/>
  <c r="C68" i="11"/>
  <c r="B68" i="11"/>
  <c r="A68" i="11"/>
  <c r="L67" i="11"/>
  <c r="K67" i="11"/>
  <c r="J67" i="11"/>
  <c r="I67" i="11"/>
  <c r="H67" i="11"/>
  <c r="G67" i="11"/>
  <c r="F67" i="11"/>
  <c r="D67" i="11"/>
  <c r="C67" i="11"/>
  <c r="B67" i="11"/>
  <c r="A67" i="11"/>
  <c r="L66" i="11"/>
  <c r="K66" i="11"/>
  <c r="J66" i="11"/>
  <c r="I66" i="11"/>
  <c r="H66" i="11"/>
  <c r="G66" i="11"/>
  <c r="F66" i="11"/>
  <c r="D66" i="11"/>
  <c r="C66" i="11"/>
  <c r="B66" i="11"/>
  <c r="A66" i="11"/>
  <c r="L65" i="11"/>
  <c r="K65" i="11"/>
  <c r="J65" i="11"/>
  <c r="I65" i="11"/>
  <c r="H65" i="11"/>
  <c r="G65" i="11"/>
  <c r="F65" i="11"/>
  <c r="D65" i="11"/>
  <c r="C65" i="11"/>
  <c r="B65" i="11"/>
  <c r="A65" i="11"/>
  <c r="L64" i="11"/>
  <c r="K64" i="11"/>
  <c r="J64" i="11"/>
  <c r="I64" i="11"/>
  <c r="H64" i="11"/>
  <c r="G64" i="11"/>
  <c r="F64" i="11"/>
  <c r="D64" i="11"/>
  <c r="C64" i="11"/>
  <c r="B64" i="11"/>
  <c r="A64" i="11"/>
  <c r="L63" i="11"/>
  <c r="K63" i="11"/>
  <c r="J63" i="11"/>
  <c r="I63" i="11"/>
  <c r="H63" i="11"/>
  <c r="G63" i="11"/>
  <c r="F63" i="11"/>
  <c r="D63" i="11"/>
  <c r="C63" i="11"/>
  <c r="B63" i="11"/>
  <c r="A63" i="11"/>
  <c r="L62" i="11"/>
  <c r="K62" i="11"/>
  <c r="J62" i="11"/>
  <c r="I62" i="11"/>
  <c r="H62" i="11"/>
  <c r="G62" i="11"/>
  <c r="F62" i="11"/>
  <c r="D62" i="11"/>
  <c r="C62" i="11"/>
  <c r="B62" i="11"/>
  <c r="A62" i="11"/>
  <c r="L61" i="11"/>
  <c r="K61" i="11"/>
  <c r="J61" i="11"/>
  <c r="I61" i="11"/>
  <c r="H61" i="11"/>
  <c r="G61" i="11"/>
  <c r="F61" i="11"/>
  <c r="D61" i="11"/>
  <c r="C61" i="11"/>
  <c r="B61" i="11"/>
  <c r="A61" i="11"/>
  <c r="L60" i="11"/>
  <c r="K60" i="11"/>
  <c r="J60" i="11"/>
  <c r="I60" i="11"/>
  <c r="H60" i="11"/>
  <c r="G60" i="11"/>
  <c r="F60" i="11"/>
  <c r="D60" i="11"/>
  <c r="C60" i="11"/>
  <c r="B60" i="11"/>
  <c r="A60" i="11"/>
  <c r="L59" i="11"/>
  <c r="K59" i="11"/>
  <c r="J59" i="11"/>
  <c r="I59" i="11"/>
  <c r="H59" i="11"/>
  <c r="G59" i="11"/>
  <c r="F59" i="11"/>
  <c r="D59" i="11"/>
  <c r="C59" i="11"/>
  <c r="B59" i="11"/>
  <c r="A59" i="11"/>
  <c r="L58" i="11"/>
  <c r="K58" i="11"/>
  <c r="J58" i="11"/>
  <c r="I58" i="11"/>
  <c r="H58" i="11"/>
  <c r="G58" i="11"/>
  <c r="F58" i="11"/>
  <c r="D58" i="11"/>
  <c r="C58" i="11"/>
  <c r="B58" i="11"/>
  <c r="A58" i="11"/>
  <c r="L57" i="11"/>
  <c r="K57" i="11"/>
  <c r="J57" i="11"/>
  <c r="I57" i="11"/>
  <c r="H57" i="11"/>
  <c r="G57" i="11"/>
  <c r="F57" i="11"/>
  <c r="D57" i="11"/>
  <c r="C57" i="11"/>
  <c r="B57" i="11"/>
  <c r="A57" i="11"/>
  <c r="L56" i="11"/>
  <c r="K56" i="11"/>
  <c r="J56" i="11"/>
  <c r="I56" i="11"/>
  <c r="H56" i="11"/>
  <c r="G56" i="11"/>
  <c r="F56" i="11"/>
  <c r="D56" i="11"/>
  <c r="C56" i="11"/>
  <c r="B56" i="11"/>
  <c r="A56" i="11"/>
  <c r="L55" i="11"/>
  <c r="K55" i="11"/>
  <c r="J55" i="11"/>
  <c r="I55" i="11"/>
  <c r="H55" i="11"/>
  <c r="G55" i="11"/>
  <c r="F55" i="11"/>
  <c r="D55" i="11"/>
  <c r="C55" i="11"/>
  <c r="B55" i="11"/>
  <c r="A55" i="11"/>
  <c r="L54" i="11"/>
  <c r="K54" i="11"/>
  <c r="J54" i="11"/>
  <c r="I54" i="11"/>
  <c r="H54" i="11"/>
  <c r="G54" i="11"/>
  <c r="F54" i="11"/>
  <c r="D54" i="11"/>
  <c r="C54" i="11"/>
  <c r="B54" i="11"/>
  <c r="A54" i="11"/>
  <c r="L53" i="11"/>
  <c r="K53" i="11"/>
  <c r="J53" i="11"/>
  <c r="I53" i="11"/>
  <c r="H53" i="11"/>
  <c r="G53" i="11"/>
  <c r="F53" i="11"/>
  <c r="D53" i="11"/>
  <c r="C53" i="11"/>
  <c r="B53" i="11"/>
  <c r="A53" i="11"/>
  <c r="L52" i="11"/>
  <c r="K52" i="11"/>
  <c r="J52" i="11"/>
  <c r="I52" i="11"/>
  <c r="H52" i="11"/>
  <c r="G52" i="11"/>
  <c r="F52" i="11"/>
  <c r="D52" i="11"/>
  <c r="C52" i="11"/>
  <c r="B52" i="11"/>
  <c r="A52" i="11"/>
  <c r="L51" i="11"/>
  <c r="K51" i="11"/>
  <c r="J51" i="11"/>
  <c r="I51" i="11"/>
  <c r="H51" i="11"/>
  <c r="G51" i="11"/>
  <c r="F51" i="11"/>
  <c r="D51" i="11"/>
  <c r="C51" i="11"/>
  <c r="B51" i="11"/>
  <c r="A51" i="11"/>
  <c r="L50" i="11"/>
  <c r="K50" i="11"/>
  <c r="J50" i="11"/>
  <c r="I50" i="11"/>
  <c r="H50" i="11"/>
  <c r="G50" i="11"/>
  <c r="F50" i="11"/>
  <c r="D50" i="11"/>
  <c r="C50" i="11"/>
  <c r="B50" i="11"/>
  <c r="A50" i="11"/>
  <c r="L49" i="11"/>
  <c r="K49" i="11"/>
  <c r="J49" i="11"/>
  <c r="I49" i="11"/>
  <c r="H49" i="11"/>
  <c r="G49" i="11"/>
  <c r="F49" i="11"/>
  <c r="D49" i="11"/>
  <c r="C49" i="11"/>
  <c r="B49" i="11"/>
  <c r="A49" i="11"/>
  <c r="L48" i="11"/>
  <c r="K48" i="11"/>
  <c r="J48" i="11"/>
  <c r="I48" i="11"/>
  <c r="H48" i="11"/>
  <c r="G48" i="11"/>
  <c r="F48" i="11"/>
  <c r="D48" i="11"/>
  <c r="C48" i="11"/>
  <c r="B48" i="11"/>
  <c r="A48" i="11"/>
  <c r="L47" i="11"/>
  <c r="K47" i="11"/>
  <c r="J47" i="11"/>
  <c r="I47" i="11"/>
  <c r="H47" i="11"/>
  <c r="G47" i="11"/>
  <c r="F47" i="11"/>
  <c r="D47" i="11"/>
  <c r="C47" i="11"/>
  <c r="B47" i="11"/>
  <c r="A47" i="11"/>
  <c r="L46" i="11"/>
  <c r="K46" i="11"/>
  <c r="J46" i="11"/>
  <c r="I46" i="11"/>
  <c r="H46" i="11"/>
  <c r="G46" i="11"/>
  <c r="F46" i="11"/>
  <c r="D46" i="11"/>
  <c r="C46" i="11"/>
  <c r="B46" i="11"/>
  <c r="A46" i="11"/>
  <c r="L45" i="11"/>
  <c r="K45" i="11"/>
  <c r="J45" i="11"/>
  <c r="I45" i="11"/>
  <c r="H45" i="11"/>
  <c r="G45" i="11"/>
  <c r="F45" i="11"/>
  <c r="D45" i="11"/>
  <c r="C45" i="11"/>
  <c r="B45" i="11"/>
  <c r="A45" i="11"/>
  <c r="L44" i="11"/>
  <c r="K44" i="11"/>
  <c r="J44" i="11"/>
  <c r="I44" i="11"/>
  <c r="H44" i="11"/>
  <c r="G44" i="11"/>
  <c r="F44" i="11"/>
  <c r="D44" i="11"/>
  <c r="C44" i="11"/>
  <c r="B44" i="11"/>
  <c r="A44" i="11"/>
  <c r="L43" i="11"/>
  <c r="K43" i="11"/>
  <c r="J43" i="11"/>
  <c r="I43" i="11"/>
  <c r="H43" i="11"/>
  <c r="G43" i="11"/>
  <c r="F43" i="11"/>
  <c r="D43" i="11"/>
  <c r="C43" i="11"/>
  <c r="B43" i="11"/>
  <c r="A43" i="11"/>
  <c r="L42" i="11"/>
  <c r="K42" i="11"/>
  <c r="J42" i="11"/>
  <c r="I42" i="11"/>
  <c r="H42" i="11"/>
  <c r="G42" i="11"/>
  <c r="F42" i="11"/>
  <c r="D42" i="11"/>
  <c r="C42" i="11"/>
  <c r="B42" i="11"/>
  <c r="A42" i="11"/>
  <c r="L41" i="11"/>
  <c r="K41" i="11"/>
  <c r="J41" i="11"/>
  <c r="I41" i="11"/>
  <c r="H41" i="11"/>
  <c r="G41" i="11"/>
  <c r="F41" i="11"/>
  <c r="D41" i="11"/>
  <c r="C41" i="11"/>
  <c r="B41" i="11"/>
  <c r="A41" i="11"/>
  <c r="L40" i="11"/>
  <c r="K40" i="11"/>
  <c r="J40" i="11"/>
  <c r="I40" i="11"/>
  <c r="H40" i="11"/>
  <c r="G40" i="11"/>
  <c r="F40" i="11"/>
  <c r="D40" i="11"/>
  <c r="C40" i="11"/>
  <c r="B40" i="11"/>
  <c r="A40" i="11"/>
  <c r="L39" i="11"/>
  <c r="K39" i="11"/>
  <c r="J39" i="11"/>
  <c r="I39" i="11"/>
  <c r="H39" i="11"/>
  <c r="G39" i="11"/>
  <c r="F39" i="11"/>
  <c r="D39" i="11"/>
  <c r="C39" i="11"/>
  <c r="B39" i="11"/>
  <c r="A39" i="11"/>
  <c r="L38" i="11"/>
  <c r="K38" i="11"/>
  <c r="J38" i="11"/>
  <c r="I38" i="11"/>
  <c r="H38" i="11"/>
  <c r="G38" i="11"/>
  <c r="F38" i="11"/>
  <c r="D38" i="11"/>
  <c r="C38" i="11"/>
  <c r="B38" i="11"/>
  <c r="A38" i="11"/>
  <c r="L37" i="11"/>
  <c r="K37" i="11"/>
  <c r="J37" i="11"/>
  <c r="I37" i="11"/>
  <c r="H37" i="11"/>
  <c r="G37" i="11"/>
  <c r="F37" i="11"/>
  <c r="D37" i="11"/>
  <c r="C37" i="11"/>
  <c r="B37" i="11"/>
  <c r="A37" i="11"/>
  <c r="L36" i="11"/>
  <c r="K36" i="11"/>
  <c r="J36" i="11"/>
  <c r="I36" i="11"/>
  <c r="H36" i="11"/>
  <c r="G36" i="11"/>
  <c r="F36" i="11"/>
  <c r="D36" i="11"/>
  <c r="C36" i="11"/>
  <c r="B36" i="11"/>
  <c r="A36" i="11"/>
  <c r="L35" i="11"/>
  <c r="K35" i="11"/>
  <c r="J35" i="11"/>
  <c r="I35" i="11"/>
  <c r="H35" i="11"/>
  <c r="G35" i="11"/>
  <c r="F35" i="11"/>
  <c r="D35" i="11"/>
  <c r="C35" i="11"/>
  <c r="B35" i="11"/>
  <c r="A35" i="11"/>
  <c r="L34" i="11"/>
  <c r="K34" i="11"/>
  <c r="J34" i="11"/>
  <c r="I34" i="11"/>
  <c r="H34" i="11"/>
  <c r="G34" i="11"/>
  <c r="F34" i="11"/>
  <c r="D34" i="11"/>
  <c r="C34" i="11"/>
  <c r="B34" i="11"/>
  <c r="A34" i="11"/>
  <c r="L33" i="11"/>
  <c r="K33" i="11"/>
  <c r="J33" i="11"/>
  <c r="I33" i="11"/>
  <c r="H33" i="11"/>
  <c r="G33" i="11"/>
  <c r="F33" i="11"/>
  <c r="D33" i="11"/>
  <c r="C33" i="11"/>
  <c r="B33" i="11"/>
  <c r="A33" i="11"/>
  <c r="L32" i="11"/>
  <c r="K32" i="11"/>
  <c r="J32" i="11"/>
  <c r="I32" i="11"/>
  <c r="H32" i="11"/>
  <c r="G32" i="11"/>
  <c r="F32" i="11"/>
  <c r="D32" i="11"/>
  <c r="C32" i="11"/>
  <c r="B32" i="11"/>
  <c r="A32" i="11"/>
  <c r="L31" i="11"/>
  <c r="K31" i="11"/>
  <c r="J31" i="11"/>
  <c r="I31" i="11"/>
  <c r="H31" i="11"/>
  <c r="G31" i="11"/>
  <c r="F31" i="11"/>
  <c r="D31" i="11"/>
  <c r="C31" i="11"/>
  <c r="B31" i="11"/>
  <c r="A31" i="11"/>
  <c r="L30" i="11"/>
  <c r="K30" i="11"/>
  <c r="J30" i="11"/>
  <c r="I30" i="11"/>
  <c r="H30" i="11"/>
  <c r="G30" i="11"/>
  <c r="F30" i="11"/>
  <c r="D30" i="11"/>
  <c r="C30" i="11"/>
  <c r="B30" i="11"/>
  <c r="A30" i="11"/>
  <c r="L29" i="11"/>
  <c r="K29" i="11"/>
  <c r="J29" i="11"/>
  <c r="I29" i="11"/>
  <c r="H29" i="11"/>
  <c r="G29" i="11"/>
  <c r="F29" i="11"/>
  <c r="D29" i="11"/>
  <c r="C29" i="11"/>
  <c r="B29" i="11"/>
  <c r="A29" i="11"/>
  <c r="L28" i="11"/>
  <c r="K28" i="11"/>
  <c r="J28" i="11"/>
  <c r="I28" i="11"/>
  <c r="H28" i="11"/>
  <c r="G28" i="11"/>
  <c r="F28" i="11"/>
  <c r="D28" i="11"/>
  <c r="C28" i="11"/>
  <c r="B28" i="11"/>
  <c r="A28" i="11"/>
  <c r="L27" i="11"/>
  <c r="K27" i="11"/>
  <c r="J27" i="11"/>
  <c r="I27" i="11"/>
  <c r="H27" i="11"/>
  <c r="G27" i="11"/>
  <c r="F27" i="11"/>
  <c r="D27" i="11"/>
  <c r="C27" i="11"/>
  <c r="B27" i="11"/>
  <c r="A27" i="11"/>
  <c r="L26" i="11"/>
  <c r="K26" i="11"/>
  <c r="J26" i="11"/>
  <c r="I26" i="11"/>
  <c r="H26" i="11"/>
  <c r="G26" i="11"/>
  <c r="F26" i="11"/>
  <c r="D26" i="11"/>
  <c r="C26" i="11"/>
  <c r="B26" i="11"/>
  <c r="A26" i="11"/>
  <c r="L25" i="11"/>
  <c r="K25" i="11"/>
  <c r="J25" i="11"/>
  <c r="I25" i="11"/>
  <c r="H25" i="11"/>
  <c r="G25" i="11"/>
  <c r="F25" i="11"/>
  <c r="D25" i="11"/>
  <c r="C25" i="11"/>
  <c r="B25" i="11"/>
  <c r="A25" i="11"/>
  <c r="L24" i="11"/>
  <c r="K24" i="11"/>
  <c r="J24" i="11"/>
  <c r="I24" i="11"/>
  <c r="H24" i="11"/>
  <c r="G24" i="11"/>
  <c r="F24" i="11"/>
  <c r="D24" i="11"/>
  <c r="C24" i="11"/>
  <c r="B24" i="11"/>
  <c r="A24" i="11"/>
  <c r="L23" i="11"/>
  <c r="K23" i="11"/>
  <c r="J23" i="11"/>
  <c r="I23" i="11"/>
  <c r="H23" i="11"/>
  <c r="G23" i="11"/>
  <c r="F23" i="11"/>
  <c r="D23" i="11"/>
  <c r="C23" i="11"/>
  <c r="B23" i="11"/>
  <c r="A23" i="11"/>
  <c r="L22" i="11"/>
  <c r="K22" i="11"/>
  <c r="J22" i="11"/>
  <c r="I22" i="11"/>
  <c r="H22" i="11"/>
  <c r="G22" i="11"/>
  <c r="F22" i="11"/>
  <c r="D22" i="11"/>
  <c r="C22" i="11"/>
  <c r="B22" i="11"/>
  <c r="A22" i="11"/>
  <c r="L21" i="11"/>
  <c r="K21" i="11"/>
  <c r="J21" i="11"/>
  <c r="I21" i="11"/>
  <c r="H21" i="11"/>
  <c r="G21" i="11"/>
  <c r="F21" i="11"/>
  <c r="D21" i="11"/>
  <c r="C21" i="11"/>
  <c r="B21" i="11"/>
  <c r="A21" i="11"/>
  <c r="L20" i="11"/>
  <c r="K20" i="11"/>
  <c r="J20" i="11"/>
  <c r="I20" i="11"/>
  <c r="H20" i="11"/>
  <c r="G20" i="11"/>
  <c r="F20" i="11"/>
  <c r="D20" i="11"/>
  <c r="C20" i="11"/>
  <c r="B20" i="11"/>
  <c r="A20" i="11"/>
  <c r="L19" i="11"/>
  <c r="K19" i="11"/>
  <c r="J19" i="11"/>
  <c r="I19" i="11"/>
  <c r="H19" i="11"/>
  <c r="G19" i="11"/>
  <c r="F19" i="11"/>
  <c r="D19" i="11"/>
  <c r="C19" i="11"/>
  <c r="B19" i="11"/>
  <c r="A19" i="11"/>
  <c r="L18" i="11"/>
  <c r="K18" i="11"/>
  <c r="J18" i="11"/>
  <c r="I18" i="11"/>
  <c r="H18" i="11"/>
  <c r="G18" i="11"/>
  <c r="F18" i="11"/>
  <c r="D18" i="11"/>
  <c r="C18" i="11"/>
  <c r="B18" i="11"/>
  <c r="A18" i="11"/>
  <c r="L17" i="11"/>
  <c r="K17" i="11"/>
  <c r="J17" i="11"/>
  <c r="I17" i="11"/>
  <c r="H17" i="11"/>
  <c r="G17" i="11"/>
  <c r="F17" i="11"/>
  <c r="D17" i="11"/>
  <c r="C17" i="11"/>
  <c r="B17" i="11"/>
  <c r="A17" i="11"/>
  <c r="L16" i="11"/>
  <c r="K16" i="11"/>
  <c r="J16" i="11"/>
  <c r="I16" i="11"/>
  <c r="H16" i="11"/>
  <c r="G16" i="11"/>
  <c r="F16" i="11"/>
  <c r="D16" i="11"/>
  <c r="C16" i="11"/>
  <c r="B16" i="11"/>
  <c r="A16" i="11"/>
  <c r="L15" i="11"/>
  <c r="K15" i="11"/>
  <c r="J15" i="11"/>
  <c r="I15" i="11"/>
  <c r="H15" i="11"/>
  <c r="G15" i="11"/>
  <c r="F15" i="11"/>
  <c r="D15" i="11"/>
  <c r="C15" i="11"/>
  <c r="B15" i="11"/>
  <c r="A15" i="11"/>
  <c r="L14" i="11"/>
  <c r="K14" i="11"/>
  <c r="J14" i="11"/>
  <c r="I14" i="11"/>
  <c r="H14" i="11"/>
  <c r="G14" i="11"/>
  <c r="F14" i="11"/>
  <c r="D14" i="11"/>
  <c r="C14" i="11"/>
  <c r="B14" i="11"/>
  <c r="A14" i="11"/>
  <c r="L13" i="11"/>
  <c r="K13" i="11"/>
  <c r="J13" i="11"/>
  <c r="I13" i="11"/>
  <c r="H13" i="11"/>
  <c r="G13" i="11"/>
  <c r="F13" i="11"/>
  <c r="D13" i="11"/>
  <c r="C13" i="11"/>
  <c r="B13" i="11"/>
  <c r="A13" i="11"/>
  <c r="L12" i="11"/>
  <c r="K12" i="11"/>
  <c r="J12" i="11"/>
  <c r="I12" i="11"/>
  <c r="H12" i="11"/>
  <c r="G12" i="11"/>
  <c r="F12" i="11"/>
  <c r="D12" i="11"/>
  <c r="C12" i="11"/>
  <c r="B12" i="11"/>
  <c r="A12" i="11"/>
  <c r="L11" i="11"/>
  <c r="K11" i="11"/>
  <c r="J11" i="11"/>
  <c r="I11" i="11"/>
  <c r="H11" i="11"/>
  <c r="G11" i="11"/>
  <c r="F11" i="11"/>
  <c r="D11" i="11"/>
  <c r="C11" i="11"/>
  <c r="B11" i="11"/>
  <c r="A11" i="11"/>
  <c r="L10" i="11"/>
  <c r="K10" i="11"/>
  <c r="J10" i="11"/>
  <c r="I10" i="11"/>
  <c r="H10" i="11"/>
  <c r="G10" i="11"/>
  <c r="F10" i="11"/>
  <c r="D10" i="11"/>
  <c r="C10" i="11"/>
  <c r="B10" i="11"/>
  <c r="A10" i="11"/>
  <c r="L9" i="11"/>
  <c r="K9" i="11"/>
  <c r="J9" i="11"/>
  <c r="I9" i="11"/>
  <c r="H9" i="11"/>
  <c r="G9" i="11"/>
  <c r="F9" i="11"/>
  <c r="D9" i="11"/>
  <c r="C9" i="11"/>
  <c r="B9" i="11"/>
  <c r="A9" i="11"/>
  <c r="L8" i="11"/>
  <c r="K8" i="11"/>
  <c r="J8" i="11"/>
  <c r="I8" i="11"/>
  <c r="H8" i="11"/>
  <c r="G8" i="11"/>
  <c r="F8" i="11"/>
  <c r="D8" i="11"/>
  <c r="C8" i="11"/>
  <c r="B8" i="11"/>
  <c r="A8" i="11"/>
  <c r="L7" i="11"/>
  <c r="K7" i="11"/>
  <c r="J7" i="11"/>
  <c r="I7" i="11"/>
  <c r="H7" i="11"/>
  <c r="G7" i="11"/>
  <c r="F7" i="11"/>
  <c r="D7" i="11"/>
  <c r="C7" i="11"/>
  <c r="B7" i="11"/>
  <c r="A7" i="11"/>
  <c r="L6" i="11"/>
  <c r="K6" i="11"/>
  <c r="J6" i="11"/>
  <c r="I6" i="11"/>
  <c r="H6" i="11"/>
  <c r="G6" i="11"/>
  <c r="F6" i="11"/>
  <c r="D6" i="11"/>
  <c r="C6" i="11"/>
  <c r="B6" i="11"/>
  <c r="A6" i="11"/>
  <c r="L5" i="11"/>
  <c r="K5" i="11"/>
  <c r="J5" i="11"/>
  <c r="I5" i="11"/>
  <c r="H5" i="11"/>
  <c r="G5" i="11"/>
  <c r="F5" i="11"/>
  <c r="D5" i="11"/>
  <c r="C5" i="11"/>
  <c r="B5" i="11"/>
  <c r="A5" i="11"/>
  <c r="L4" i="11"/>
  <c r="K4" i="11"/>
  <c r="J4" i="11"/>
  <c r="I4" i="11"/>
  <c r="H4" i="11"/>
  <c r="G4" i="11"/>
  <c r="F4" i="11"/>
  <c r="D4" i="11"/>
  <c r="C4" i="11"/>
  <c r="B4" i="11"/>
  <c r="A4" i="11"/>
  <c r="L3" i="11"/>
  <c r="K3" i="11"/>
  <c r="J3" i="11"/>
  <c r="I3" i="11"/>
  <c r="H3" i="11"/>
  <c r="G3" i="11"/>
  <c r="F3" i="11"/>
  <c r="D3" i="11"/>
  <c r="C3" i="11"/>
  <c r="B3" i="11"/>
  <c r="A3" i="11"/>
  <c r="L2" i="11"/>
  <c r="K2" i="11"/>
  <c r="J2" i="11"/>
  <c r="I2" i="11"/>
  <c r="H2" i="11"/>
  <c r="G2" i="11"/>
  <c r="F2" i="11"/>
  <c r="D2" i="11"/>
  <c r="C2" i="11"/>
  <c r="B2" i="11"/>
  <c r="A2" i="11"/>
  <c r="A13" i="5" l="1"/>
  <c r="A6" i="5"/>
  <c r="H295" i="10"/>
  <c r="H84" i="10"/>
  <c r="H100" i="10"/>
  <c r="H116" i="10"/>
  <c r="H132" i="10"/>
  <c r="H148" i="10"/>
  <c r="H164" i="10"/>
  <c r="H180" i="10"/>
  <c r="H196" i="10"/>
  <c r="H244" i="10"/>
  <c r="H260" i="10"/>
  <c r="H15" i="10"/>
  <c r="H47" i="10"/>
  <c r="H87" i="10"/>
  <c r="H103" i="10"/>
  <c r="H111" i="10"/>
  <c r="H119" i="10"/>
  <c r="H135" i="10"/>
  <c r="H151" i="10"/>
  <c r="H167" i="10"/>
  <c r="H175" i="10"/>
  <c r="H183" i="10"/>
  <c r="H199" i="10"/>
  <c r="H215" i="10"/>
  <c r="H231" i="10"/>
  <c r="H239" i="10"/>
  <c r="H247" i="10"/>
  <c r="H263" i="10"/>
  <c r="H279" i="10"/>
  <c r="H43" i="10"/>
  <c r="H59" i="10"/>
  <c r="H75" i="10"/>
  <c r="H107" i="10"/>
  <c r="H123" i="10"/>
  <c r="H139" i="10"/>
  <c r="H171" i="10"/>
  <c r="H187" i="10"/>
  <c r="H235" i="10"/>
  <c r="H251" i="10"/>
  <c r="A12" i="5"/>
  <c r="H28" i="10"/>
  <c r="H92" i="10"/>
  <c r="H156" i="10"/>
  <c r="H220" i="10"/>
  <c r="H299" i="10"/>
  <c r="H24" i="10"/>
  <c r="H40" i="10"/>
  <c r="H104" i="10"/>
  <c r="H168" i="10"/>
  <c r="H232" i="10"/>
  <c r="H21" i="10"/>
  <c r="H37" i="10"/>
  <c r="H85" i="10"/>
  <c r="H101" i="10"/>
  <c r="H165" i="10"/>
  <c r="H229" i="10"/>
  <c r="H290" i="10"/>
  <c r="H2" i="10"/>
  <c r="H287" i="10"/>
  <c r="H284" i="10"/>
  <c r="H63" i="10"/>
  <c r="H65" i="10"/>
  <c r="H79" i="10"/>
  <c r="H81" i="10"/>
  <c r="H113" i="10"/>
  <c r="H127" i="10"/>
  <c r="H129" i="10"/>
  <c r="H143" i="10"/>
  <c r="H177" i="10"/>
  <c r="H191" i="10"/>
  <c r="H193" i="10"/>
  <c r="H207" i="10"/>
  <c r="H241" i="10"/>
  <c r="H255" i="10"/>
  <c r="H257" i="10"/>
  <c r="H271" i="10"/>
  <c r="H31" i="10"/>
  <c r="H60" i="10"/>
  <c r="H62" i="10"/>
  <c r="H76" i="10"/>
  <c r="H78" i="10"/>
  <c r="H95" i="10"/>
  <c r="H110" i="10"/>
  <c r="H124" i="10"/>
  <c r="H126" i="10"/>
  <c r="H140" i="10"/>
  <c r="H159" i="10"/>
  <c r="H174" i="10"/>
  <c r="H188" i="10"/>
  <c r="H190" i="10"/>
  <c r="H204" i="10"/>
  <c r="H223" i="10"/>
  <c r="H238" i="10"/>
  <c r="H252" i="10"/>
  <c r="H254" i="10"/>
  <c r="H268" i="10"/>
  <c r="H18" i="10"/>
  <c r="H34" i="10"/>
  <c r="H82" i="10"/>
  <c r="H98" i="10"/>
  <c r="H162" i="10"/>
  <c r="H226" i="10"/>
  <c r="H296" i="10"/>
  <c r="H293" i="10"/>
  <c r="H292" i="10"/>
  <c r="A8" i="5"/>
  <c r="H108" i="10"/>
  <c r="H172" i="10"/>
  <c r="H212" i="10"/>
  <c r="H228" i="10"/>
  <c r="H236" i="10"/>
  <c r="H276" i="10"/>
  <c r="H300" i="10"/>
  <c r="H5" i="10"/>
  <c r="H55" i="10"/>
  <c r="H20" i="10"/>
  <c r="H36" i="10"/>
  <c r="H44" i="10"/>
  <c r="H52" i="10"/>
  <c r="H14" i="10"/>
  <c r="H17" i="10"/>
  <c r="H49" i="10"/>
  <c r="H71" i="10"/>
  <c r="H23" i="10"/>
  <c r="H39" i="10"/>
  <c r="H46" i="10"/>
  <c r="H68" i="10"/>
  <c r="H88" i="10"/>
  <c r="H67" i="10"/>
  <c r="H70" i="10"/>
  <c r="H73" i="10"/>
  <c r="H131" i="10"/>
  <c r="H134" i="10"/>
  <c r="H137" i="10"/>
  <c r="H195" i="10"/>
  <c r="H198" i="10"/>
  <c r="H201" i="10"/>
  <c r="H259" i="10"/>
  <c r="H262" i="10"/>
  <c r="H265" i="10"/>
  <c r="I3" i="6"/>
  <c r="H58" i="10"/>
  <c r="H61" i="10"/>
  <c r="H64" i="10"/>
  <c r="H122" i="10"/>
  <c r="H125" i="10"/>
  <c r="H128" i="10"/>
  <c r="H186" i="10"/>
  <c r="H189" i="10"/>
  <c r="H192" i="10"/>
  <c r="H250" i="10"/>
  <c r="H253" i="10"/>
  <c r="H256" i="10"/>
  <c r="I4" i="6"/>
  <c r="A3" i="5"/>
  <c r="A11" i="5"/>
  <c r="H19" i="10"/>
  <c r="H22" i="10"/>
  <c r="H25" i="10"/>
  <c r="H83" i="10"/>
  <c r="H86" i="10"/>
  <c r="H89" i="10"/>
  <c r="H147" i="10"/>
  <c r="H150" i="10"/>
  <c r="H153" i="10"/>
  <c r="H211" i="10"/>
  <c r="H214" i="10"/>
  <c r="H217" i="10"/>
  <c r="H275" i="10"/>
  <c r="H278" i="10"/>
  <c r="H281" i="10"/>
  <c r="H9" i="10"/>
  <c r="H11" i="10"/>
  <c r="H13" i="10"/>
  <c r="H16" i="10"/>
  <c r="H74" i="10"/>
  <c r="H77" i="10"/>
  <c r="H80" i="10"/>
  <c r="H138" i="10"/>
  <c r="H141" i="10"/>
  <c r="H144" i="10"/>
  <c r="H202" i="10"/>
  <c r="H205" i="10"/>
  <c r="H208" i="10"/>
  <c r="H266" i="10"/>
  <c r="H269" i="10"/>
  <c r="H272" i="10"/>
  <c r="A5" i="5"/>
  <c r="H50" i="10"/>
  <c r="H53" i="10"/>
  <c r="H56" i="10"/>
  <c r="H114" i="10"/>
  <c r="H117" i="10"/>
  <c r="H120" i="10"/>
  <c r="H178" i="10"/>
  <c r="H181" i="10"/>
  <c r="H184" i="10"/>
  <c r="H242" i="10"/>
  <c r="H245" i="10"/>
  <c r="H248" i="10"/>
  <c r="H4" i="10"/>
  <c r="H35" i="10"/>
  <c r="H38" i="10"/>
  <c r="H41" i="10"/>
  <c r="H99" i="10"/>
  <c r="H102" i="10"/>
  <c r="H105" i="10"/>
  <c r="H163" i="10"/>
  <c r="H166" i="10"/>
  <c r="H169" i="10"/>
  <c r="H227" i="10"/>
  <c r="H230" i="10"/>
  <c r="H233" i="10"/>
  <c r="H291" i="10"/>
  <c r="H294" i="10"/>
  <c r="H297" i="10"/>
  <c r="H6" i="10"/>
  <c r="H10" i="10"/>
  <c r="H26" i="10"/>
  <c r="H29" i="10"/>
  <c r="H32" i="10"/>
  <c r="H90" i="10"/>
  <c r="H93" i="10"/>
  <c r="H96" i="10"/>
  <c r="H154" i="10"/>
  <c r="H157" i="10"/>
  <c r="H160" i="10"/>
  <c r="H218" i="10"/>
  <c r="H221" i="10"/>
  <c r="H224" i="10"/>
  <c r="H282" i="10"/>
  <c r="H285" i="10"/>
  <c r="H288" i="10"/>
  <c r="H270" i="10"/>
  <c r="H142" i="10"/>
  <c r="H203" i="10"/>
  <c r="H209" i="10"/>
  <c r="H267" i="10"/>
  <c r="H273" i="10"/>
  <c r="H69" i="10"/>
  <c r="H3" i="10"/>
  <c r="H51" i="10"/>
  <c r="H54" i="10"/>
  <c r="H57" i="10"/>
  <c r="H115" i="10"/>
  <c r="H118" i="10"/>
  <c r="H121" i="10"/>
  <c r="H179" i="10"/>
  <c r="H182" i="10"/>
  <c r="H185" i="10"/>
  <c r="H243" i="10"/>
  <c r="H246" i="10"/>
  <c r="H249" i="10"/>
  <c r="H145" i="10"/>
  <c r="H66" i="10"/>
  <c r="H72" i="10"/>
  <c r="H133" i="10"/>
  <c r="H194" i="10"/>
  <c r="H258" i="10"/>
  <c r="H264" i="10"/>
  <c r="H7" i="10"/>
  <c r="H42" i="10"/>
  <c r="H45" i="10"/>
  <c r="H48" i="10"/>
  <c r="H106" i="10"/>
  <c r="H109" i="10"/>
  <c r="H112" i="10"/>
  <c r="H170" i="10"/>
  <c r="H173" i="10"/>
  <c r="H176" i="10"/>
  <c r="H234" i="10"/>
  <c r="H237" i="10"/>
  <c r="H240" i="10"/>
  <c r="H298" i="10"/>
  <c r="A1" i="5"/>
  <c r="A9" i="5"/>
  <c r="H206" i="10"/>
  <c r="H130" i="10"/>
  <c r="H136" i="10"/>
  <c r="H197" i="10"/>
  <c r="H200" i="10"/>
  <c r="H261" i="10"/>
  <c r="H27" i="10"/>
  <c r="H30" i="10"/>
  <c r="H33" i="10"/>
  <c r="H91" i="10"/>
  <c r="H94" i="10"/>
  <c r="H97" i="10"/>
  <c r="H155" i="10"/>
  <c r="H158" i="10"/>
  <c r="H161" i="10"/>
  <c r="H219" i="10"/>
  <c r="H222" i="10"/>
  <c r="H225" i="10"/>
  <c r="H283" i="10"/>
  <c r="H286" i="10"/>
  <c r="H289" i="10"/>
  <c r="H146" i="10"/>
  <c r="H149" i="10"/>
  <c r="H152" i="10"/>
  <c r="H210" i="10"/>
  <c r="H213" i="10"/>
  <c r="H216" i="10"/>
  <c r="H274" i="10"/>
  <c r="H277" i="10"/>
  <c r="H280" i="10"/>
  <c r="A10" i="5"/>
  <c r="A2" i="5"/>
  <c r="A4" i="5"/>
  <c r="H12" i="10"/>
  <c r="H8" i="10"/>
  <c r="A7" i="5"/>
  <c r="W2" i="10"/>
  <c r="W6" i="10" s="1"/>
  <c r="H5" i="1" s="1"/>
  <c r="X2" i="10" l="1"/>
  <c r="W4" i="10" s="1"/>
  <c r="C17" i="10" s="1"/>
  <c r="C13" i="10" l="1"/>
  <c r="C14" i="10"/>
  <c r="C5" i="10"/>
  <c r="C6" i="10"/>
  <c r="C2" i="10"/>
  <c r="C3" i="10"/>
  <c r="C4" i="10"/>
  <c r="C7" i="10"/>
  <c r="C8" i="10"/>
  <c r="C9" i="10"/>
  <c r="C10" i="10"/>
  <c r="C11" i="10"/>
  <c r="C12" i="10"/>
  <c r="K6" i="1" l="1" a="1"/>
  <c r="K6" i="1" s="1"/>
  <c r="C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<sst xmlns="http://schemas.openxmlformats.org/spreadsheetml/2006/main" count="214" uniqueCount="171">
  <si>
    <t xml:space="preserve">500 316 1 паз•10•по•500 Береза•рижская 1 0 0 32896 0 0 1 1 1 1 </t>
  </si>
  <si>
    <t xml:space="preserve">500 316 1 паз•10•по•500 Береза•рижская 0 2 0 128 32768 32896 1 1 1 1 </t>
  </si>
  <si>
    <t xml:space="preserve">500 316 1 паз•10•по•500 Береза•рижская 0 2 0 128 32768 8388608 1 1 1 1 </t>
  </si>
  <si>
    <t>длина</t>
  </si>
  <si>
    <t>ширина</t>
  </si>
  <si>
    <t>кол-во</t>
  </si>
  <si>
    <t>примечание</t>
  </si>
  <si>
    <t>материал</t>
  </si>
  <si>
    <t>Вращение</t>
  </si>
  <si>
    <t>приоретет</t>
  </si>
  <si>
    <t>вид кромки слева</t>
  </si>
  <si>
    <t>вид кромки справа</t>
  </si>
  <si>
    <t>вид кромки сверху</t>
  </si>
  <si>
    <t>вид кромки снизу</t>
  </si>
  <si>
    <t>паз•10•по•500</t>
  </si>
  <si>
    <t>• Бук•бавария•5111</t>
  </si>
  <si>
    <t>не вращать деталь - 0;</t>
  </si>
  <si>
    <t>низкий приоритет - 0;</t>
  </si>
  <si>
    <t>кромка 1 - 0</t>
  </si>
  <si>
    <t>вращать деталь  - 1;</t>
  </si>
  <si>
    <t>нормальный приоритет -1;</t>
  </si>
  <si>
    <t>кромка 2 - 128</t>
  </si>
  <si>
    <t>вращать все этого признака – 2;</t>
  </si>
  <si>
    <t>высокий приоритет -2.</t>
  </si>
  <si>
    <t>кромка 3 - 32768</t>
  </si>
  <si>
    <t>вращать в группе  - 3.</t>
  </si>
  <si>
    <t>кромка 4 - 32896</t>
  </si>
  <si>
    <t>установить слева</t>
  </si>
  <si>
    <t>установить справа</t>
  </si>
  <si>
    <t>установить сверху</t>
  </si>
  <si>
    <t>установить снизу</t>
  </si>
  <si>
    <t>№№</t>
  </si>
  <si>
    <t>Кол-во</t>
  </si>
  <si>
    <t>Кромка</t>
  </si>
  <si>
    <t>вращать все этого признака</t>
  </si>
  <si>
    <t>вращать в группе</t>
  </si>
  <si>
    <t>Приоритет</t>
  </si>
  <si>
    <t>низкий</t>
  </si>
  <si>
    <t>высокий</t>
  </si>
  <si>
    <t>средний</t>
  </si>
  <si>
    <t xml:space="preserve">860 550 1 • No•Material 0 0 0 0 0 0 1 0 1 1 </t>
  </si>
  <si>
    <t xml:space="preserve">754 503 10 • No•Material 0 2 0 0 0 0 0 0 1 0 </t>
  </si>
  <si>
    <t>Вид кромки</t>
  </si>
  <si>
    <t>х1</t>
  </si>
  <si>
    <t>х2</t>
  </si>
  <si>
    <t>у1</t>
  </si>
  <si>
    <t>у2</t>
  </si>
  <si>
    <t>Наличие кромки</t>
  </si>
  <si>
    <t>Пример замена в примечании</t>
  </si>
  <si>
    <t>косорез по 150</t>
  </si>
  <si>
    <t>0,4х35мм</t>
  </si>
  <si>
    <t>2,0х35мм</t>
  </si>
  <si>
    <t>Код</t>
  </si>
  <si>
    <t>не вращать</t>
  </si>
  <si>
    <t>вращать</t>
  </si>
  <si>
    <t>вращ</t>
  </si>
  <si>
    <t>1,0х19мм</t>
  </si>
  <si>
    <t xml:space="preserve">Кромка:  </t>
  </si>
  <si>
    <t>Клиент:</t>
  </si>
  <si>
    <t>Адрес:</t>
  </si>
  <si>
    <t>Телефон:</t>
  </si>
  <si>
    <t>Длина (Х)</t>
  </si>
  <si>
    <t>Ширина (Y)</t>
  </si>
  <si>
    <t>площадь деталей</t>
  </si>
  <si>
    <t>кол-во деталей</t>
  </si>
  <si>
    <t>0,4 мм</t>
  </si>
  <si>
    <t>2,0 мм</t>
  </si>
  <si>
    <t>Кромка без запаса</t>
  </si>
  <si>
    <t>купить</t>
  </si>
  <si>
    <t>2800*2070 листов</t>
  </si>
  <si>
    <t>2750*1830 листов</t>
  </si>
  <si>
    <t>обгонка</t>
  </si>
  <si>
    <t>направл</t>
  </si>
  <si>
    <t>L1</t>
  </si>
  <si>
    <t>L2</t>
  </si>
  <si>
    <t>W1</t>
  </si>
  <si>
    <t>W2</t>
  </si>
  <si>
    <t>примеч</t>
  </si>
  <si>
    <t>матер</t>
  </si>
  <si>
    <t>толщина</t>
  </si>
  <si>
    <t>в цвет материала, иначе указываем в примечании</t>
  </si>
  <si>
    <r>
      <t xml:space="preserve">Х Х Х </t>
    </r>
    <r>
      <rPr>
        <b/>
        <sz val="11"/>
        <color theme="1"/>
        <rFont val="Calibri"/>
        <family val="2"/>
        <charset val="204"/>
        <scheme val="minor"/>
      </rPr>
      <t>1*35</t>
    </r>
    <r>
      <rPr>
        <sz val="11"/>
        <color theme="1"/>
        <rFont val="Calibri"/>
        <family val="2"/>
        <scheme val="minor"/>
      </rPr>
      <t xml:space="preserve"> Х Х Х </t>
    </r>
  </si>
  <si>
    <r>
      <t xml:space="preserve">Х Х Х </t>
    </r>
    <r>
      <rPr>
        <b/>
        <sz val="11"/>
        <color theme="1"/>
        <rFont val="Calibri"/>
        <family val="2"/>
        <charset val="204"/>
        <scheme val="minor"/>
      </rPr>
      <t xml:space="preserve">1 </t>
    </r>
    <r>
      <rPr>
        <sz val="11"/>
        <color theme="1"/>
        <rFont val="Calibri"/>
        <family val="2"/>
        <scheme val="minor"/>
      </rPr>
      <t xml:space="preserve">Х Х Х </t>
    </r>
  </si>
  <si>
    <t>■ ■ ■2■ ■ ■</t>
  </si>
  <si>
    <t>■ ■ ■2*35■ ■ ■</t>
  </si>
  <si>
    <t>1,0х35мм</t>
  </si>
  <si>
    <t>Позиция детали</t>
  </si>
  <si>
    <t>Наименование детали</t>
  </si>
  <si>
    <t>Наименование материала</t>
  </si>
  <si>
    <t>Толщина заг</t>
  </si>
  <si>
    <t>Длина заг</t>
  </si>
  <si>
    <t>Ширина заг</t>
  </si>
  <si>
    <t>Примечание</t>
  </si>
  <si>
    <t>Кромка L1</t>
  </si>
  <si>
    <t>Кромка L2</t>
  </si>
  <si>
    <t>Кромка W1</t>
  </si>
  <si>
    <t>Кромка W2</t>
  </si>
  <si>
    <t>Паз L1</t>
  </si>
  <si>
    <t>Паз L2</t>
  </si>
  <si>
    <t>Паз W1</t>
  </si>
  <si>
    <t>Паз W2</t>
  </si>
  <si>
    <t>Длина</t>
  </si>
  <si>
    <t>Ширина</t>
  </si>
  <si>
    <t>Название</t>
  </si>
  <si>
    <t>толщина плиты</t>
  </si>
  <si>
    <t>1=1*19мм</t>
  </si>
  <si>
    <t>0=0,4*19мм</t>
  </si>
  <si>
    <t>2=2*19мм</t>
  </si>
  <si>
    <t>ОБР = обратная сторона</t>
  </si>
  <si>
    <t>ЛИЦ = лицевая сторона</t>
  </si>
  <si>
    <t>LED = подсветка врезная</t>
  </si>
  <si>
    <t>вырез R2 кромим 1мм = вырез с 2мя радиусами который надо закромить</t>
  </si>
  <si>
    <t>РПЛ 60*2шт = распилить на 2шт по 60мм</t>
  </si>
  <si>
    <t>СКЛ= склейка</t>
  </si>
  <si>
    <t>СКР=скрутка</t>
  </si>
  <si>
    <t>0,4 не в цвет</t>
  </si>
  <si>
    <t>1 не в цвет</t>
  </si>
  <si>
    <r>
      <t xml:space="preserve">Х Х Х </t>
    </r>
    <r>
      <rPr>
        <b/>
        <sz val="11"/>
        <color theme="1"/>
        <rFont val="Calibri"/>
        <family val="2"/>
        <charset val="204"/>
        <scheme val="minor"/>
      </rPr>
      <t>1не в цвет</t>
    </r>
    <r>
      <rPr>
        <sz val="11"/>
        <color theme="1"/>
        <rFont val="Calibri"/>
        <family val="2"/>
        <scheme val="minor"/>
      </rPr>
      <t xml:space="preserve">Х Х Х </t>
    </r>
  </si>
  <si>
    <t>2 не в цвет</t>
  </si>
  <si>
    <t>■ ■ ■2не в цвет■ ■ ■</t>
  </si>
  <si>
    <t>0 не в цвет</t>
  </si>
  <si>
    <t>Длина L</t>
  </si>
  <si>
    <t>Ширина W</t>
  </si>
  <si>
    <t>Паз W</t>
  </si>
  <si>
    <t>Паз L</t>
  </si>
  <si>
    <t>ПИЛ_длина</t>
  </si>
  <si>
    <t>ПИЛ_ширина</t>
  </si>
  <si>
    <t>1*43мм</t>
  </si>
  <si>
    <t>2*43</t>
  </si>
  <si>
    <t xml:space="preserve">Х Х Х 1*43 Х Х Х </t>
  </si>
  <si>
    <t>■ ■ ■2*43■ ■ ■</t>
  </si>
  <si>
    <t>1,0х35мм не в цвет</t>
  </si>
  <si>
    <t>0,4х35мм не в цвет</t>
  </si>
  <si>
    <t>2,0х35мм не в цвет</t>
  </si>
  <si>
    <r>
      <t xml:space="preserve">Х Х Х </t>
    </r>
    <r>
      <rPr>
        <b/>
        <sz val="11"/>
        <color theme="1"/>
        <rFont val="Calibri"/>
        <family val="2"/>
        <charset val="204"/>
        <scheme val="minor"/>
      </rPr>
      <t>1*35 не в цвет</t>
    </r>
    <r>
      <rPr>
        <sz val="11"/>
        <color theme="1"/>
        <rFont val="Calibri"/>
        <family val="2"/>
        <scheme val="minor"/>
      </rPr>
      <t xml:space="preserve"> Х Х Х </t>
    </r>
  </si>
  <si>
    <t>■ ■ ■2*35 не в цвет■ ■ ■</t>
  </si>
  <si>
    <t>большая деталь</t>
  </si>
  <si>
    <t>считаем БД</t>
  </si>
  <si>
    <t>Материал +БД</t>
  </si>
  <si>
    <r>
      <t>___</t>
    </r>
    <r>
      <rPr>
        <b/>
        <sz val="11"/>
        <color theme="1"/>
        <rFont val="Calibri"/>
        <family val="2"/>
        <charset val="204"/>
        <scheme val="minor"/>
      </rPr>
      <t>04 *35</t>
    </r>
    <r>
      <rPr>
        <sz val="11"/>
        <color theme="1"/>
        <rFont val="Calibri"/>
        <family val="2"/>
        <scheme val="minor"/>
      </rPr>
      <t>___</t>
    </r>
  </si>
  <si>
    <r>
      <t xml:space="preserve">___ </t>
    </r>
    <r>
      <rPr>
        <b/>
        <sz val="11"/>
        <color theme="1"/>
        <rFont val="Calibri"/>
        <family val="2"/>
        <charset val="204"/>
        <scheme val="minor"/>
      </rPr>
      <t xml:space="preserve">04не в цвет </t>
    </r>
    <r>
      <rPr>
        <sz val="11"/>
        <color theme="1"/>
        <rFont val="Calibri"/>
        <family val="2"/>
        <scheme val="minor"/>
      </rPr>
      <t xml:space="preserve">___ </t>
    </r>
  </si>
  <si>
    <t>___ 04 ___</t>
  </si>
  <si>
    <r>
      <t>___</t>
    </r>
    <r>
      <rPr>
        <b/>
        <sz val="11"/>
        <color theme="1"/>
        <rFont val="Calibri"/>
        <family val="2"/>
        <charset val="204"/>
        <scheme val="minor"/>
      </rPr>
      <t xml:space="preserve">04не в цвет </t>
    </r>
    <r>
      <rPr>
        <sz val="11"/>
        <color theme="1"/>
        <rFont val="Calibri"/>
        <family val="2"/>
        <scheme val="minor"/>
      </rPr>
      <t>___</t>
    </r>
  </si>
  <si>
    <r>
      <t xml:space="preserve">___ </t>
    </r>
    <r>
      <rPr>
        <b/>
        <sz val="11"/>
        <color theme="1"/>
        <rFont val="Calibri"/>
        <family val="2"/>
        <charset val="204"/>
        <scheme val="minor"/>
      </rPr>
      <t>04 *35 не в цвет</t>
    </r>
    <r>
      <rPr>
        <sz val="11"/>
        <color theme="1"/>
        <rFont val="Calibri"/>
        <family val="2"/>
        <scheme val="minor"/>
      </rPr>
      <t>___</t>
    </r>
  </si>
  <si>
    <t>РПЛ до 56*2, докромить</t>
  </si>
  <si>
    <t>СКЛ 456*86-2шт</t>
  </si>
  <si>
    <t>1.10</t>
  </si>
  <si>
    <t>ФИО</t>
  </si>
  <si>
    <t>Производитель</t>
  </si>
  <si>
    <t>лдсп фон бежевый</t>
  </si>
  <si>
    <t>Декор</t>
  </si>
  <si>
    <t>НОРДЕКО</t>
  </si>
  <si>
    <t>ТОМЛЕС</t>
  </si>
  <si>
    <t>УВА</t>
  </si>
  <si>
    <t>ЭГГЕР</t>
  </si>
  <si>
    <t>ЭКСТРАВЕРТ</t>
  </si>
  <si>
    <t>АГТ</t>
  </si>
  <si>
    <t>КАСТОМОНУ</t>
  </si>
  <si>
    <t>УЛЬТРАДЕКОР</t>
  </si>
  <si>
    <t>ЮГРА</t>
  </si>
  <si>
    <t>РЕХАУ</t>
  </si>
  <si>
    <t>ЭТЕРНО</t>
  </si>
  <si>
    <t>ЛАМАРТИ</t>
  </si>
  <si>
    <t>радиус</t>
  </si>
  <si>
    <t>Косарез с кром, чертёж</t>
  </si>
  <si>
    <t>*32</t>
  </si>
  <si>
    <t>8-913-720-13-70</t>
  </si>
  <si>
    <t>Новосибирск, ул. Станционная 59/2</t>
  </si>
  <si>
    <t>Крыша</t>
  </si>
  <si>
    <t>стойка</t>
  </si>
  <si>
    <t>дно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</si>
</sst>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#,##0.00_ ;\-#,##0.00\ "/>
    <numFmt numFmtId="166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7"/>
      <color theme="1"/>
      <name val="Calibri"/>
      <family val="2"/>
      <charset val="204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  <charset val="204"/>
    </font>
    <font>
      <sz val="10"/>
      <color rgb="FF000000"/>
      <name val="Times New Roman"/>
      <family val="1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1"/>
      <name val="Calibri"/>
      <family val="2"/>
      <scheme val="minor"/>
    </font>
    <font>
      <sz val="8"/>
      <color theme="1"/>
      <name val="Tahoma"/>
      <family val="2"/>
      <charset val="204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249977111117893"/>
      </right>
      <top style="thin">
        <color indexed="64"/>
      </top>
      <bottom style="thin">
        <color indexed="64"/>
      </bottom>
      <diagonal/>
    </border>
    <border>
      <left style="medium">
        <color theme="0" tint="-0.249977111117893"/>
      </left>
      <right style="thin">
        <color indexed="64"/>
      </right>
      <top style="thin">
        <color indexed="64"/>
      </top>
      <bottom style="medium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theme="0" tint="-0.249977111117893"/>
      </right>
      <top/>
      <bottom style="thin">
        <color indexed="64"/>
      </bottom>
      <diagonal/>
    </border>
    <border>
      <left style="medium">
        <color theme="0" tint="-0.249977111117893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164" fontId="8" fillId="0" borderId="0" applyFont="0" applyFill="0" applyBorder="0" applyAlignment="0" applyProtection="0"/>
    <xf numFmtId="0" fontId="10" fillId="0" borderId="0"/>
    <xf numFmtId="0" fontId="11" fillId="0" borderId="0"/>
    <xf numFmtId="0" fontId="12" fillId="0" borderId="0">
      <alignment horizontal="left"/>
    </xf>
    <xf numFmtId="0" fontId="12" fillId="0" borderId="0">
      <alignment horizontal="left"/>
    </xf>
    <xf numFmtId="0" fontId="12" fillId="0" borderId="0">
      <alignment horizontal="left"/>
    </xf>
    <xf numFmtId="0" fontId="12" fillId="0" borderId="0">
      <alignment horizontal="left"/>
    </xf>
    <xf numFmtId="0" fontId="13" fillId="0" borderId="0"/>
    <xf numFmtId="0" fontId="2" fillId="0" borderId="0"/>
    <xf numFmtId="0" fontId="16" fillId="0" borderId="0"/>
    <xf numFmtId="0" fontId="16" fillId="0" borderId="0"/>
    <xf numFmtId="0" fontId="8" fillId="2" borderId="0" applyNumberFormat="0" applyFont="0" applyFill="0" applyBorder="0" applyAlignment="0"/>
    <xf numFmtId="0" fontId="8" fillId="2" borderId="27" applyNumberFormat="0" applyFont="0" applyFill="0" applyBorder="0" applyAlignment="0"/>
  </cellStyleXfs>
  <cellXfs count="112">
    <xf numFmtId="0" fontId="0" fillId="0" borderId="0" xfId="0"/>
    <xf numFmtId="49" fontId="3" fillId="0" borderId="0" xfId="0" applyNumberFormat="1" applyFont="1" applyAlignment="1">
      <alignment textRotation="90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3" fillId="0" borderId="1" xfId="0" applyFont="1" applyBorder="1"/>
    <xf numFmtId="0" fontId="5" fillId="0" borderId="0" xfId="0" applyFont="1" applyProtection="1">
      <protection hidden="1"/>
    </xf>
    <xf numFmtId="0" fontId="6" fillId="0" borderId="1" xfId="0" applyFont="1" applyBorder="1" applyAlignment="1">
      <alignment horizontal="center" vertical="center"/>
    </xf>
    <xf numFmtId="0" fontId="0" fillId="2" borderId="0" xfId="0" applyFill="1"/>
    <xf numFmtId="0" fontId="4" fillId="3" borderId="1" xfId="0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6" xfId="0" applyFont="1" applyFill="1" applyBorder="1" applyAlignment="1">
      <alignment horizontal="right"/>
    </xf>
    <xf numFmtId="0" fontId="0" fillId="2" borderId="6" xfId="0" applyFill="1" applyBorder="1" applyAlignment="1" applyProtection="1">
      <alignment horizontal="left"/>
      <protection locked="0"/>
    </xf>
    <xf numFmtId="0" fontId="0" fillId="0" borderId="0" xfId="0" applyProtection="1">
      <protection hidden="1"/>
    </xf>
    <xf numFmtId="0" fontId="0" fillId="0" borderId="2" xfId="0" applyBorder="1" applyAlignment="1" applyProtection="1">
      <alignment horizontal="right" vertical="center"/>
      <protection hidden="1"/>
    </xf>
    <xf numFmtId="0" fontId="0" fillId="0" borderId="1" xfId="0" applyBorder="1" applyAlignment="1" applyProtection="1">
      <alignment horizontal="right" vertical="center"/>
      <protection hidden="1"/>
    </xf>
    <xf numFmtId="0" fontId="0" fillId="0" borderId="15" xfId="0" applyBorder="1" applyAlignment="1" applyProtection="1">
      <alignment horizontal="right" vertic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1" fontId="0" fillId="0" borderId="13" xfId="0" applyNumberFormat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/>
      <protection hidden="1"/>
    </xf>
    <xf numFmtId="1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5" xfId="0" applyBorder="1"/>
    <xf numFmtId="0" fontId="0" fillId="0" borderId="1" xfId="0" applyBorder="1" applyProtection="1">
      <protection hidden="1"/>
    </xf>
    <xf numFmtId="0" fontId="0" fillId="0" borderId="1" xfId="0" applyBorder="1" applyAlignment="1" applyProtection="1">
      <alignment shrinkToFit="1"/>
      <protection hidden="1"/>
    </xf>
    <xf numFmtId="0" fontId="0" fillId="0" borderId="1" xfId="0" applyBorder="1" applyAlignment="1">
      <alignment vertical="center"/>
    </xf>
    <xf numFmtId="0" fontId="0" fillId="2" borderId="0" xfId="0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/>
      <protection locked="0"/>
    </xf>
    <xf numFmtId="0" fontId="0" fillId="2" borderId="0" xfId="0" applyFill="1" applyAlignment="1" applyProtection="1">
      <alignment horizontal="left"/>
      <protection hidden="1"/>
    </xf>
    <xf numFmtId="0" fontId="14" fillId="0" borderId="1" xfId="0" applyFont="1" applyBorder="1"/>
    <xf numFmtId="0" fontId="0" fillId="2" borderId="27" xfId="0" applyFill="1" applyBorder="1"/>
    <xf numFmtId="0" fontId="0" fillId="2" borderId="27" xfId="0" applyFill="1" applyBorder="1" applyAlignment="1" applyProtection="1">
      <alignment horizontal="left" vertical="center"/>
      <protection locked="0"/>
    </xf>
    <xf numFmtId="0" fontId="0" fillId="2" borderId="27" xfId="0" applyFill="1" applyBorder="1" applyAlignment="1" applyProtection="1">
      <alignment horizontal="left"/>
      <protection locked="0"/>
    </xf>
    <xf numFmtId="0" fontId="0" fillId="2" borderId="27" xfId="0" applyFill="1" applyBorder="1" applyAlignment="1" applyProtection="1">
      <alignment horizontal="left"/>
      <protection hidden="1"/>
    </xf>
    <xf numFmtId="0" fontId="0" fillId="2" borderId="25" xfId="0" applyFill="1" applyBorder="1" applyAlignment="1" applyProtection="1">
      <alignment horizontal="left"/>
      <protection locked="0"/>
    </xf>
    <xf numFmtId="0" fontId="0" fillId="0" borderId="27" xfId="0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28" xfId="0" applyBorder="1"/>
    <xf numFmtId="0" fontId="0" fillId="0" borderId="28" xfId="0" applyBorder="1" applyAlignment="1">
      <alignment vertical="center"/>
    </xf>
    <xf numFmtId="0" fontId="0" fillId="0" borderId="24" xfId="0" applyBorder="1" applyAlignment="1">
      <alignment vertical="center"/>
    </xf>
    <xf numFmtId="1" fontId="0" fillId="0" borderId="1" xfId="0" applyNumberFormat="1" applyBorder="1"/>
    <xf numFmtId="49" fontId="0" fillId="2" borderId="0" xfId="0" applyNumberFormat="1" applyFill="1"/>
    <xf numFmtId="0" fontId="0" fillId="5" borderId="0" xfId="0" applyFill="1"/>
    <xf numFmtId="166" fontId="0" fillId="0" borderId="1" xfId="0" applyNumberFormat="1" applyBorder="1"/>
    <xf numFmtId="0" fontId="0" fillId="2" borderId="6" xfId="0" applyFill="1" applyBorder="1" applyAlignment="1" applyProtection="1">
      <alignment vertical="top"/>
      <protection locked="0"/>
    </xf>
    <xf numFmtId="0" fontId="3" fillId="2" borderId="29" xfId="0" applyFont="1" applyFill="1" applyBorder="1"/>
    <xf numFmtId="0" fontId="0" fillId="0" borderId="6" xfId="0" applyBorder="1"/>
    <xf numFmtId="0" fontId="3" fillId="2" borderId="1" xfId="0" applyFont="1" applyFill="1" applyBorder="1"/>
    <xf numFmtId="0" fontId="1" fillId="0" borderId="0" xfId="0" applyFont="1"/>
    <xf numFmtId="0" fontId="0" fillId="2" borderId="26" xfId="0" applyFill="1" applyBorder="1" applyAlignment="1" applyProtection="1">
      <alignment horizontal="center" vertical="top"/>
      <protection locked="0"/>
    </xf>
    <xf numFmtId="0" fontId="18" fillId="0" borderId="0" xfId="0" applyFont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top"/>
    </xf>
    <xf numFmtId="0" fontId="3" fillId="2" borderId="27" xfId="0" applyFont="1" applyFill="1" applyBorder="1" applyAlignment="1">
      <alignment horizontal="center" vertical="top"/>
    </xf>
    <xf numFmtId="0" fontId="4" fillId="3" borderId="2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textRotation="90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0" fillId="0" borderId="6" xfId="0" applyBorder="1" applyAlignment="1">
      <alignment horizontal="right"/>
    </xf>
    <xf numFmtId="0" fontId="3" fillId="0" borderId="1" xfId="0" applyFont="1" applyBorder="1" applyAlignment="1">
      <alignment horizontal="center"/>
    </xf>
    <xf numFmtId="0" fontId="0" fillId="0" borderId="20" xfId="0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right" vertical="center"/>
      <protection hidden="1"/>
    </xf>
    <xf numFmtId="0" fontId="0" fillId="0" borderId="18" xfId="0" applyBorder="1" applyAlignment="1" applyProtection="1">
      <alignment horizontal="right" vertical="center"/>
      <protection hidden="1"/>
    </xf>
    <xf numFmtId="0" fontId="0" fillId="0" borderId="1" xfId="0" applyBorder="1" applyAlignment="1" applyProtection="1">
      <alignment horizontal="right" vertical="center"/>
      <protection hidden="1"/>
    </xf>
    <xf numFmtId="0" fontId="0" fillId="0" borderId="13" xfId="0" applyBorder="1" applyAlignment="1" applyProtection="1">
      <alignment horizontal="right" vertical="center"/>
      <protection hidden="1"/>
    </xf>
    <xf numFmtId="0" fontId="0" fillId="0" borderId="9" xfId="0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left"/>
      <protection hidden="1"/>
    </xf>
    <xf numFmtId="0" fontId="0" fillId="0" borderId="14" xfId="0" applyBorder="1" applyAlignment="1" applyProtection="1">
      <alignment horizontal="left"/>
      <protection hidden="1"/>
    </xf>
    <xf numFmtId="0" fontId="0" fillId="0" borderId="15" xfId="0" applyBorder="1" applyAlignment="1" applyProtection="1">
      <alignment horizontal="left"/>
      <protection hidden="1"/>
    </xf>
    <xf numFmtId="0" fontId="0" fillId="0" borderId="19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15" xfId="0" applyBorder="1" applyAlignment="1" applyProtection="1">
      <alignment horizontal="right" vertical="center"/>
      <protection hidden="1"/>
    </xf>
    <xf numFmtId="0" fontId="0" fillId="0" borderId="16" xfId="0" applyBorder="1" applyAlignment="1" applyProtection="1">
      <alignment horizontal="right" vertic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6" borderId="29" xfId="0" applyFill="1" applyBorder="1" applyAlignment="1" applyProtection="1">
      <alignment horizontal="center" vertical="top"/>
      <protection locked="0"/>
    </xf>
    <xf numFmtId="0" fontId="0" fillId="6" borderId="26" xfId="0" applyFill="1" applyBorder="1" applyAlignment="1" applyProtection="1">
      <alignment horizontal="center" vertical="top"/>
      <protection locked="0"/>
    </xf>
    <xf numFmtId="0" fontId="0" fillId="6" borderId="23" xfId="0" applyFill="1" applyBorder="1" applyAlignment="1" applyProtection="1">
      <alignment horizontal="center" vertical="top"/>
      <protection locked="0"/>
    </xf>
    <xf numFmtId="0" fontId="0" fillId="6" borderId="1" xfId="0" applyFill="1" applyBorder="1" applyAlignment="1" applyProtection="1">
      <alignment horizontal="left" vertical="center"/>
      <protection locked="0"/>
    </xf>
    <xf numFmtId="1" fontId="9" fillId="6" borderId="1" xfId="1" applyNumberFormat="1" applyFont="1" applyFill="1" applyBorder="1" applyAlignment="1" applyProtection="1">
      <alignment horizontal="center" vertical="center"/>
      <protection locked="0"/>
    </xf>
    <xf numFmtId="1" fontId="9" fillId="6" borderId="1" xfId="0" applyNumberFormat="1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 hidden="1"/>
    </xf>
    <xf numFmtId="0" fontId="9" fillId="6" borderId="4" xfId="0" applyFont="1" applyFill="1" applyBorder="1" applyAlignment="1" applyProtection="1">
      <alignment horizontal="center"/>
      <protection locked="0"/>
    </xf>
    <xf numFmtId="165" fontId="9" fillId="6" borderId="4" xfId="0" applyNumberFormat="1" applyFont="1" applyFill="1" applyBorder="1" applyAlignment="1" applyProtection="1">
      <alignment horizontal="center"/>
      <protection locked="0"/>
    </xf>
    <xf numFmtId="0" fontId="15" fillId="6" borderId="4" xfId="0" applyFont="1" applyFill="1" applyBorder="1" applyAlignment="1" applyProtection="1">
      <alignment horizontal="center"/>
      <protection locked="0"/>
    </xf>
    <xf numFmtId="0" fontId="0" fillId="6" borderId="0" xfId="0" applyFill="1"/>
    <xf numFmtId="0" fontId="7" fillId="6" borderId="1" xfId="0" applyFont="1" applyFill="1" applyBorder="1"/>
    <xf numFmtId="165" fontId="0" fillId="6" borderId="0" xfId="0" applyNumberFormat="1" applyFill="1"/>
    <xf numFmtId="0" fontId="0" fillId="2" borderId="27" xfId="13" applyFont="1" applyFill="1" applyBorder="1"/>
    <xf numFmtId="0" fontId="19" fillId="3" borderId="2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0" fillId="6" borderId="31" xfId="0" applyFill="1" applyBorder="1" applyAlignment="1" applyProtection="1">
      <alignment horizontal="center" vertical="top"/>
      <protection locked="0"/>
    </xf>
    <xf numFmtId="0" fontId="0" fillId="6" borderId="6" xfId="0" applyFill="1" applyBorder="1" applyAlignment="1" applyProtection="1">
      <alignment horizontal="center" vertical="top"/>
      <protection locked="0"/>
    </xf>
    <xf numFmtId="0" fontId="0" fillId="6" borderId="25" xfId="0" applyFill="1" applyBorder="1" applyAlignment="1" applyProtection="1">
      <alignment horizontal="center" vertical="top"/>
      <protection locked="0"/>
    </xf>
    <xf numFmtId="0" fontId="0" fillId="6" borderId="1" xfId="0" applyFill="1" applyBorder="1" applyAlignment="1" applyProtection="1">
      <alignment vertical="top"/>
      <protection locked="0"/>
    </xf>
  </cellXfs>
  <cellStyles count="14">
    <cellStyle name="Normal" xfId="11" xr:uid="{00000000-0005-0000-0000-000000000000}"/>
    <cellStyle name="Обычный" xfId="0" builtinId="0"/>
    <cellStyle name="Обычный 2" xfId="2" xr:uid="{00000000-0005-0000-0000-000002000000}"/>
    <cellStyle name="Обычный 2 2" xfId="4" xr:uid="{00000000-0005-0000-0000-000003000000}"/>
    <cellStyle name="Обычный 2 3" xfId="5" xr:uid="{00000000-0005-0000-0000-000004000000}"/>
    <cellStyle name="Обычный 2 4" xfId="6" xr:uid="{00000000-0005-0000-0000-000005000000}"/>
    <cellStyle name="Обычный 2 5" xfId="7" xr:uid="{00000000-0005-0000-0000-000006000000}"/>
    <cellStyle name="Обычный 3" xfId="3" xr:uid="{00000000-0005-0000-0000-000007000000}"/>
    <cellStyle name="Обычный 4" xfId="9" xr:uid="{00000000-0005-0000-0000-000008000000}"/>
    <cellStyle name="Обычный 5" xfId="8" xr:uid="{00000000-0005-0000-0000-000009000000}"/>
    <cellStyle name="Обычный 6" xfId="10" xr:uid="{00000000-0005-0000-0000-00000A000000}"/>
    <cellStyle name="Стиль  Bloc" xfId="13" xr:uid="{8051C10C-015A-40AC-8C86-3E35DFFF762E}"/>
    <cellStyle name="Стиль 1" xfId="12" xr:uid="{C2441151-C6A6-4279-8ABB-00F470594C2F}"/>
    <cellStyle name="Финансовый" xfId="1" builtinId="3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14288</xdr:rowOff>
    </xdr:from>
    <xdr:ext cx="1371602" cy="428624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3825" y="14288"/>
          <a:ext cx="1371602" cy="428624"/>
        </a:xfrm>
        <a:prstGeom prst="rect">
          <a:avLst/>
        </a:prstGeom>
      </xdr:spPr>
    </xdr:pic>
    <xdr:clientData/>
  </xdr:oneCellAnchor>
  <xdr:oneCellAnchor>
    <xdr:from>
      <xdr:col>10</xdr:col>
      <xdr:colOff>12701</xdr:colOff>
      <xdr:row>0</xdr:row>
      <xdr:rowOff>0</xdr:rowOff>
    </xdr:from>
    <xdr:ext cx="1906587" cy="1233487"/>
    <xdr:pic>
      <xdr:nvPicPr>
        <xdr:cNvPr id="4" name="Рисунок 3">
          <a:extLst>
            <a:ext uri="{FF2B5EF4-FFF2-40B4-BE49-F238E27FC236}">
              <a16:creationId xmlns:a16="http://schemas.microsoft.com/office/drawing/2014/main" id="{EED0330A-216A-0269-C1CA-009A3A88F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 rot="16200000">
          <a:off x="6159501" y="-336550"/>
          <a:ext cx="1233487" cy="19065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6"/>
  <sheetViews>
    <sheetView workbookViewId="0">
      <selection activeCell="L2" sqref="L2"/>
    </sheetView>
  </sheetViews>
  <sheetFormatPr defaultColWidth="10" defaultRowHeight="14.25" x14ac:dyDescent="0.45"/>
  <cols>
    <col min="11" max="11" width="9.1328125" customWidth="1"/>
    <col min="12" max="12" width="18.59765625" customWidth="1"/>
    <col min="13" max="16" width="9.1328125" customWidth="1"/>
  </cols>
  <sheetData>
    <row r="1" spans="1:12" x14ac:dyDescent="0.45">
      <c r="A1" t="s">
        <v>31</v>
      </c>
      <c r="B1" t="s">
        <v>3</v>
      </c>
      <c r="C1" t="s">
        <v>4</v>
      </c>
      <c r="D1" t="s">
        <v>5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</row>
    <row r="2" spans="1:12" x14ac:dyDescent="0.45">
      <c r="A2" s="3">
        <f>IF(ISBLANK('Список деталей'!C10),"",'Список деталей'!A10)</f>
        <v>1</v>
      </c>
      <c r="B2" s="24">
        <f>IF(ISNUMBER('Список деталей'!C10), 'Список деталей'!C10, "")</f>
        <v>100</v>
      </c>
      <c r="C2" s="24">
        <f>IF(ISNUMBER('Список деталей'!D10), 'Список деталей'!D10, "")</f>
        <v>100</v>
      </c>
      <c r="D2" s="24">
        <f>IF(ISNUMBER('Список деталей'!E10), 'Список деталей'!E10, "")</f>
        <v>1</v>
      </c>
      <c r="E2" s="24"/>
      <c r="F2" s="25" t="str">
        <f>IF(ISBLANK('Список деталей'!F10),"",VLOOKUP('Список деталей'!F10,Справочник!$A$4:$D$11,4,0))</f>
        <v xml:space="preserve">Х Х Х 1 Х Х Х </v>
      </c>
      <c r="G2" s="25" t="str">
        <f>IF(ISBLANK('Список деталей'!G10),"",VLOOKUP('Список деталей'!G10,Справочник!$A$4:$D$11,4,0))</f>
        <v xml:space="preserve">Х Х Х 1 Х Х Х </v>
      </c>
      <c r="H2" s="25" t="str">
        <f>IF(ISBLANK('Список деталей'!H10),"",VLOOKUP('Список деталей'!H10,Справочник!$A$4:$D$11,4,0))</f>
        <v xml:space="preserve">Х Х Х 1 Х Х Х </v>
      </c>
      <c r="I2" s="25" t="str">
        <f>IF(ISBLANK('Список деталей'!I10),"",VLOOKUP('Список деталей'!I10,Справочник!$A$4:$D$11,4,0))</f>
        <v>___ 04 ___</v>
      </c>
      <c r="J2" s="24" t="str">
        <f>IF(ISBLANK('Список деталей'!K10),"",'Список деталей'!K10)</f>
        <v/>
      </c>
      <c r="K2" s="3" t="str">
        <f>IF(ISNUMBER('Список деталей'!C10), 'Список деталей'!$B$5,"")</f>
        <v>лдсп фон бежевый</v>
      </c>
      <c r="L2" s="3">
        <f>IF(ISNUMBER('Список деталей'!C10), 'Список деталей'!$I$4,"")</f>
        <v>16</v>
      </c>
    </row>
    <row r="3" spans="1:12" x14ac:dyDescent="0.45">
      <c r="A3" s="3">
        <f>IF(ISBLANK('Список деталей'!C11),"",'Список деталей'!A11)</f>
        <v>2</v>
      </c>
      <c r="B3" s="24">
        <f>IF(ISNUMBER('Список деталей'!C11), 'Список деталей'!C11, "")</f>
        <v>699</v>
      </c>
      <c r="C3" s="24">
        <f>IF(ISNUMBER('Список деталей'!D11), 'Список деталей'!D11, "")</f>
        <v>122</v>
      </c>
      <c r="D3" s="24">
        <f>IF(ISNUMBER('Список деталей'!E11), 'Список деталей'!E11, "")</f>
        <v>2</v>
      </c>
      <c r="E3" s="24"/>
      <c r="F3" s="25" t="str">
        <f>IF(ISBLANK('Список деталей'!F11),"",VLOOKUP('Список деталей'!F11,Справочник!$A$4:$D$11,4,0))</f>
        <v>___ 04 ___</v>
      </c>
      <c r="G3" s="25" t="str">
        <f>IF(ISBLANK('Список деталей'!G11),"",VLOOKUP('Список деталей'!G11,Справочник!$A$4:$D$11,4,0))</f>
        <v xml:space="preserve">Х Х Х 1 Х Х Х </v>
      </c>
      <c r="H3" s="25" t="str">
        <f>IF(ISBLANK('Список деталей'!H11),"",VLOOKUP('Список деталей'!H11,Справочник!$A$4:$D$11,4,0))</f>
        <v xml:space="preserve">Х Х Х 1 Х Х Х </v>
      </c>
      <c r="I3" s="25" t="str">
        <f>IF(ISBLANK('Список деталей'!I11),"",VLOOKUP('Список деталей'!I11,Справочник!$A$4:$D$11,4,0))</f>
        <v xml:space="preserve">Х Х Х 1 Х Х Х </v>
      </c>
      <c r="J3" s="24" t="str">
        <f>IF(ISBLANK('Список деталей'!K11),"",'Список деталей'!K11)</f>
        <v/>
      </c>
      <c r="K3" s="3" t="str">
        <f>IF(ISNUMBER('Список деталей'!C11), 'Список деталей'!$B$5,"")</f>
        <v>лдсп фон бежевый</v>
      </c>
      <c r="L3" s="3">
        <f>IF(ISNUMBER('Список деталей'!C11), 'Список деталей'!$I$4,"")</f>
        <v>16</v>
      </c>
    </row>
    <row r="4" spans="1:12" x14ac:dyDescent="0.45">
      <c r="A4" s="3">
        <f>IF(ISBLANK('Список деталей'!C12),"",'Список деталей'!A12)</f>
        <v>3</v>
      </c>
      <c r="B4" s="24">
        <f>IF(ISNUMBER('Список деталей'!C12), 'Список деталей'!C12, "")</f>
        <v>200</v>
      </c>
      <c r="C4" s="24">
        <f>IF(ISNUMBER('Список деталей'!D12), 'Список деталей'!D12, "")</f>
        <v>400</v>
      </c>
      <c r="D4" s="24">
        <f>IF(ISNUMBER('Список деталей'!E12), 'Список деталей'!E12, "")</f>
        <v>2</v>
      </c>
      <c r="E4" s="24"/>
      <c r="F4" s="25" t="str">
        <f>IF(ISBLANK('Список деталей'!F12),"",VLOOKUP('Список деталей'!F12,Справочник!$A$4:$D$11,4,0))</f>
        <v xml:space="preserve">Х Х Х 1*35 Х Х Х </v>
      </c>
      <c r="G4" s="25" t="str">
        <f>IF(ISBLANK('Список деталей'!G12),"",VLOOKUP('Список деталей'!G12,Справочник!$A$4:$D$11,4,0))</f>
        <v>___04 *35___</v>
      </c>
      <c r="H4" s="25" t="str">
        <f>IF(ISBLANK('Список деталей'!H12),"",VLOOKUP('Список деталей'!H12,Справочник!$A$4:$D$11,4,0))</f>
        <v xml:space="preserve">Х Х Х 1*35 Х Х Х </v>
      </c>
      <c r="I4" s="25" t="str">
        <f>IF(ISBLANK('Список деталей'!I12),"",VLOOKUP('Список деталей'!I12,Справочник!$A$4:$D$11,4,0))</f>
        <v xml:space="preserve">Х Х Х 1*35 Х Х Х </v>
      </c>
      <c r="J4" s="24" t="str">
        <f>IF(ISBLANK('Список деталей'!K12),"",'Список деталей'!K12)</f>
        <v>*32</v>
      </c>
      <c r="K4" s="3" t="str">
        <f>IF(ISNUMBER('Список деталей'!C12), 'Список деталей'!$B$5,"")</f>
        <v>лдсп фон бежевый</v>
      </c>
      <c r="L4" s="3">
        <f>IF(ISNUMBER('Список деталей'!C12), 'Список деталей'!$I$4,"")</f>
        <v>16</v>
      </c>
    </row>
    <row r="5" spans="1:12" x14ac:dyDescent="0.45">
      <c r="A5" s="3">
        <f>IF(ISBLANK('Список деталей'!C13),"",'Список деталей'!A13)</f>
        <v>4</v>
      </c>
      <c r="B5" s="24">
        <f>IF(ISNUMBER('Список деталей'!C13), 'Список деталей'!C13, "")</f>
        <v>383</v>
      </c>
      <c r="C5" s="24">
        <f>IF(ISNUMBER('Список деталей'!D13), 'Список деталей'!D13, "")</f>
        <v>554</v>
      </c>
      <c r="D5" s="24">
        <f>IF(ISNUMBER('Список деталей'!E13), 'Список деталей'!E13, "")</f>
        <v>2</v>
      </c>
      <c r="E5" s="24"/>
      <c r="F5" s="25" t="str">
        <f>IF(ISBLANK('Список деталей'!F13),"",VLOOKUP('Список деталей'!F13,Справочник!$A$4:$D$11,4,0))</f>
        <v>___ 04 ___</v>
      </c>
      <c r="G5" s="25" t="str">
        <f>IF(ISBLANK('Список деталей'!G13),"",VLOOKUP('Список деталей'!G13,Справочник!$A$4:$D$11,4,0))</f>
        <v>___ 04 ___</v>
      </c>
      <c r="H5" s="25" t="str">
        <f>IF(ISBLANK('Список деталей'!H13),"",VLOOKUP('Список деталей'!H13,Справочник!$A$4:$D$11,4,0))</f>
        <v>___ 04 ___</v>
      </c>
      <c r="I5" s="25" t="str">
        <f>IF(ISBLANK('Список деталей'!I13),"",VLOOKUP('Список деталей'!I13,Справочник!$A$4:$D$11,4,0))</f>
        <v>___ 04 ___</v>
      </c>
      <c r="J5" s="24" t="str">
        <f>IF(ISBLANK('Список деталей'!K13),"",'Список деталей'!K13)</f>
        <v/>
      </c>
      <c r="K5" s="3" t="str">
        <f>IF(ISNUMBER('Список деталей'!C13), 'Список деталей'!$B$5,"")</f>
        <v>лдсп фон бежевый</v>
      </c>
      <c r="L5" s="3">
        <f>IF(ISNUMBER('Список деталей'!C13), 'Список деталей'!$I$4,"")</f>
        <v>16</v>
      </c>
    </row>
    <row r="6" spans="1:12" x14ac:dyDescent="0.45">
      <c r="A6" s="3">
        <f>IF(ISBLANK('Список деталей'!C14),"",'Список деталей'!A14)</f>
        <v>5</v>
      </c>
      <c r="B6" s="24">
        <f>IF(ISNUMBER('Список деталей'!C14), 'Список деталей'!C14, "")</f>
        <v>367</v>
      </c>
      <c r="C6" s="24">
        <f>IF(ISNUMBER('Список деталей'!D14), 'Список деталей'!D14, "")</f>
        <v>554</v>
      </c>
      <c r="D6" s="24">
        <f>IF(ISNUMBER('Список деталей'!E14), 'Список деталей'!E14, "")</f>
        <v>2</v>
      </c>
      <c r="E6" s="24"/>
      <c r="F6" s="25" t="str">
        <f>IF(ISBLANK('Список деталей'!F14),"",VLOOKUP('Список деталей'!F14,Справочник!$A$4:$D$11,4,0))</f>
        <v>___ 04 ___</v>
      </c>
      <c r="G6" s="25" t="str">
        <f>IF(ISBLANK('Список деталей'!G14),"",VLOOKUP('Список деталей'!G14,Справочник!$A$4:$D$11,4,0))</f>
        <v>___ 04 ___</v>
      </c>
      <c r="H6" s="25" t="str">
        <f>IF(ISBLANK('Список деталей'!H14),"",VLOOKUP('Список деталей'!H14,Справочник!$A$4:$D$11,4,0))</f>
        <v>___ 04 ___</v>
      </c>
      <c r="I6" s="25" t="str">
        <f>IF(ISBLANK('Список деталей'!I14),"",VLOOKUP('Список деталей'!I14,Справочник!$A$4:$D$11,4,0))</f>
        <v>___ 04 ___</v>
      </c>
      <c r="J6" s="24" t="str">
        <f>IF(ISBLANK('Список деталей'!K14),"",'Список деталей'!K14)</f>
        <v>радиус</v>
      </c>
      <c r="K6" s="3" t="str">
        <f>IF(ISNUMBER('Список деталей'!C14), 'Список деталей'!$B$5,"")</f>
        <v>лдсп фон бежевый</v>
      </c>
      <c r="L6" s="3">
        <f>IF(ISNUMBER('Список деталей'!C14), 'Список деталей'!$I$4,"")</f>
        <v>16</v>
      </c>
    </row>
    <row r="7" spans="1:12" x14ac:dyDescent="0.45">
      <c r="A7" s="3">
        <f>IF(ISBLANK('Список деталей'!C15),"",'Список деталей'!A15)</f>
        <v>6</v>
      </c>
      <c r="B7" s="24">
        <f>IF(ISNUMBER('Список деталей'!C15), 'Список деталей'!C15, "")</f>
        <v>699</v>
      </c>
      <c r="C7" s="24">
        <f>IF(ISNUMBER('Список деталей'!D15), 'Список деталей'!D15, "")</f>
        <v>155</v>
      </c>
      <c r="D7" s="24">
        <f>IF(ISNUMBER('Список деталей'!E15), 'Список деталей'!E15, "")</f>
        <v>2</v>
      </c>
      <c r="E7" s="24"/>
      <c r="F7" s="25" t="str">
        <f>IF(ISBLANK('Список деталей'!F15),"",VLOOKUP('Список деталей'!F15,Справочник!$A$4:$D$11,4,0))</f>
        <v xml:space="preserve">Х Х Х 1 Х Х Х </v>
      </c>
      <c r="G7" s="25" t="str">
        <f>IF(ISBLANK('Список деталей'!G15),"",VLOOKUP('Список деталей'!G15,Справочник!$A$4:$D$11,4,0))</f>
        <v xml:space="preserve">Х Х Х 1 Х Х Х </v>
      </c>
      <c r="H7" s="25" t="str">
        <f>IF(ISBLANK('Список деталей'!H15),"",VLOOKUP('Список деталей'!H15,Справочник!$A$4:$D$11,4,0))</f>
        <v xml:space="preserve">Х Х Х 1 Х Х Х </v>
      </c>
      <c r="I7" s="25" t="str">
        <f>IF(ISBLANK('Список деталей'!I15),"",VLOOKUP('Список деталей'!I15,Справочник!$A$4:$D$11,4,0))</f>
        <v>■ ■ ■2■ ■ ■</v>
      </c>
      <c r="J7" s="24" t="str">
        <f>IF(ISBLANK('Список деталей'!K15),"",'Список деталей'!K15)</f>
        <v/>
      </c>
      <c r="K7" s="3" t="str">
        <f>IF(ISNUMBER('Список деталей'!C15), 'Список деталей'!$B$5,"")</f>
        <v>лдсп фон бежевый</v>
      </c>
      <c r="L7" s="3">
        <f>IF(ISNUMBER('Список деталей'!C15), 'Список деталей'!$I$4,"")</f>
        <v>16</v>
      </c>
    </row>
    <row r="8" spans="1:12" x14ac:dyDescent="0.45">
      <c r="A8" s="3">
        <f>IF(ISBLANK('Список деталей'!C16),"",'Список деталей'!A16)</f>
        <v>7</v>
      </c>
      <c r="B8" s="24">
        <f>IF(ISNUMBER('Список деталей'!C16), 'Список деталей'!C16, "")</f>
        <v>155</v>
      </c>
      <c r="C8" s="24">
        <f>IF(ISNUMBER('Список деталей'!D16), 'Список деталей'!D16, "")</f>
        <v>441</v>
      </c>
      <c r="D8" s="24">
        <f>IF(ISNUMBER('Список деталей'!E16), 'Список деталей'!E16, "")</f>
        <v>2</v>
      </c>
      <c r="E8" s="24"/>
      <c r="F8" s="25" t="str">
        <f>IF(ISBLANK('Список деталей'!F16),"",VLOOKUP('Список деталей'!F16,Справочник!$A$4:$D$11,4,0))</f>
        <v xml:space="preserve">Х Х Х 1 Х Х Х </v>
      </c>
      <c r="G8" s="25" t="str">
        <f>IF(ISBLANK('Список деталей'!G16),"",VLOOKUP('Список деталей'!G16,Справочник!$A$4:$D$11,4,0))</f>
        <v>___ 04 ___</v>
      </c>
      <c r="H8" s="25" t="str">
        <f>IF(ISBLANK('Список деталей'!H16),"",VLOOKUP('Список деталей'!H16,Справочник!$A$4:$D$11,4,0))</f>
        <v>___ 04 ___</v>
      </c>
      <c r="I8" s="25" t="str">
        <f>IF(ISBLANK('Список деталей'!I16),"",VLOOKUP('Список деталей'!I16,Справочник!$A$4:$D$11,4,0))</f>
        <v>___ 04 ___</v>
      </c>
      <c r="J8" s="24" t="str">
        <f>IF(ISBLANK('Список деталей'!K16),"",'Список деталей'!K16)</f>
        <v>Косарез с кром, чертёж</v>
      </c>
      <c r="K8" s="3" t="str">
        <f>IF(ISNUMBER('Список деталей'!C16), 'Список деталей'!$B$5,"")</f>
        <v>лдсп фон бежевый</v>
      </c>
      <c r="L8" s="3">
        <f>IF(ISNUMBER('Список деталей'!C16), 'Список деталей'!$I$4,"")</f>
        <v>16</v>
      </c>
    </row>
    <row r="9" spans="1:12" x14ac:dyDescent="0.45">
      <c r="A9" s="3">
        <f>IF(ISBLANK('Список деталей'!C17),"",'Список деталей'!A17)</f>
        <v>8</v>
      </c>
      <c r="B9" s="24">
        <f>IF(ISNUMBER('Список деталей'!C17), 'Список деталей'!C17, "")</f>
        <v>439</v>
      </c>
      <c r="C9" s="24">
        <f>IF(ISNUMBER('Список деталей'!D17), 'Список деталей'!D17, "")</f>
        <v>154</v>
      </c>
      <c r="D9" s="24">
        <f>IF(ISNUMBER('Список деталей'!E17), 'Список деталей'!E17, "")</f>
        <v>1</v>
      </c>
      <c r="E9" s="24"/>
      <c r="F9" s="25" t="str">
        <f>IF(ISBLANK('Список деталей'!F17),"",VLOOKUP('Список деталей'!F17,Справочник!$A$4:$D$11,4,0))</f>
        <v>___ 04 ___</v>
      </c>
      <c r="G9" s="25" t="str">
        <f>IF(ISBLANK('Список деталей'!G17),"",VLOOKUP('Список деталей'!G17,Справочник!$A$4:$D$11,4,0))</f>
        <v>___ 04 ___</v>
      </c>
      <c r="H9" s="25" t="str">
        <f>IF(ISBLANK('Список деталей'!H17),"",VLOOKUP('Список деталей'!H17,Справочник!$A$4:$D$11,4,0))</f>
        <v>___ 04 ___</v>
      </c>
      <c r="I9" s="25" t="str">
        <f>IF(ISBLANK('Список деталей'!I17),"",VLOOKUP('Список деталей'!I17,Справочник!$A$4:$D$11,4,0))</f>
        <v>___ 04 ___</v>
      </c>
      <c r="J9" s="24" t="str">
        <f>IF(ISBLANK('Список деталей'!K17),"",'Список деталей'!K17)</f>
        <v/>
      </c>
      <c r="K9" s="3" t="str">
        <f>IF(ISNUMBER('Список деталей'!C17), 'Список деталей'!$B$5,"")</f>
        <v>лдсп фон бежевый</v>
      </c>
      <c r="L9" s="3">
        <f>IF(ISNUMBER('Список деталей'!C17), 'Список деталей'!$I$4,"")</f>
        <v>16</v>
      </c>
    </row>
    <row r="10" spans="1:12" x14ac:dyDescent="0.45">
      <c r="A10" s="3">
        <f>IF(ISBLANK('Список деталей'!C18),"",'Список деталей'!A18)</f>
        <v>9</v>
      </c>
      <c r="B10" s="24">
        <f>IF(ISNUMBER('Список деталей'!C18), 'Список деталей'!C18, "")</f>
        <v>496</v>
      </c>
      <c r="C10" s="24">
        <f>IF(ISNUMBER('Список деталей'!D18), 'Список деталей'!D18, "")</f>
        <v>126</v>
      </c>
      <c r="D10" s="24">
        <f>IF(ISNUMBER('Список деталей'!E18), 'Список деталей'!E18, "")</f>
        <v>2</v>
      </c>
      <c r="E10" s="24"/>
      <c r="F10" s="25" t="str">
        <f>IF(ISBLANK('Список деталей'!F18),"",VLOOKUP('Список деталей'!F18,Справочник!$A$4:$D$11,4,0))</f>
        <v xml:space="preserve">Х Х Х 1*35 Х Х Х </v>
      </c>
      <c r="G10" s="25" t="str">
        <f>IF(ISBLANK('Список деталей'!G18),"",VLOOKUP('Список деталей'!G18,Справочник!$A$4:$D$11,4,0))</f>
        <v>___04 *35___</v>
      </c>
      <c r="H10" s="25" t="str">
        <f>IF(ISBLANK('Список деталей'!H18),"",VLOOKUP('Список деталей'!H18,Справочник!$A$4:$D$11,4,0))</f>
        <v/>
      </c>
      <c r="I10" s="25" t="str">
        <f>IF(ISBLANK('Список деталей'!I18),"",VLOOKUP('Список деталей'!I18,Справочник!$A$4:$D$11,4,0))</f>
        <v/>
      </c>
      <c r="J10" s="24" t="str">
        <f>IF(ISBLANK('Список деталей'!K18),"",'Список деталей'!K18)</f>
        <v>СКЛ 456*86-2шт</v>
      </c>
      <c r="K10" s="3" t="str">
        <f>IF(ISNUMBER('Список деталей'!C18), 'Список деталей'!$B$5,"")</f>
        <v>лдсп фон бежевый</v>
      </c>
      <c r="L10" s="3">
        <f>IF(ISNUMBER('Список деталей'!C18), 'Список деталей'!$I$4,"")</f>
        <v>16</v>
      </c>
    </row>
    <row r="11" spans="1:12" x14ac:dyDescent="0.45">
      <c r="A11" s="3">
        <f>IF(ISBLANK('Список деталей'!C19),"",'Список деталей'!A19)</f>
        <v>10</v>
      </c>
      <c r="B11" s="24">
        <f>IF(ISNUMBER('Список деталей'!C19), 'Список деталей'!C19, "")</f>
        <v>439</v>
      </c>
      <c r="C11" s="24">
        <f>IF(ISNUMBER('Список деталей'!D19), 'Список деталей'!D19, "")</f>
        <v>84</v>
      </c>
      <c r="D11" s="24">
        <f>IF(ISNUMBER('Список деталей'!E19), 'Список деталей'!E19, "")</f>
        <v>1</v>
      </c>
      <c r="E11" s="24"/>
      <c r="F11" s="25" t="str">
        <f>IF(ISBLANK('Список деталей'!F19),"",VLOOKUP('Список деталей'!F19,Справочник!$A$4:$D$11,4,0))</f>
        <v>___ 04 ___</v>
      </c>
      <c r="G11" s="25" t="str">
        <f>IF(ISBLANK('Список деталей'!G19),"",VLOOKUP('Список деталей'!G19,Справочник!$A$4:$D$11,4,0))</f>
        <v>___ 04 ___</v>
      </c>
      <c r="H11" s="25" t="str">
        <f>IF(ISBLANK('Список деталей'!H19),"",VLOOKUP('Список деталей'!H19,Справочник!$A$4:$D$11,4,0))</f>
        <v>___ 04 ___</v>
      </c>
      <c r="I11" s="25" t="str">
        <f>IF(ISBLANK('Список деталей'!I19),"",VLOOKUP('Список деталей'!I19,Справочник!$A$4:$D$11,4,0))</f>
        <v>___ 04 ___</v>
      </c>
      <c r="J11" s="24" t="str">
        <f>IF(ISBLANK('Список деталей'!K19),"",'Список деталей'!K19)</f>
        <v/>
      </c>
      <c r="K11" s="3" t="str">
        <f>IF(ISNUMBER('Список деталей'!C19), 'Список деталей'!$B$5,"")</f>
        <v>лдсп фон бежевый</v>
      </c>
      <c r="L11" s="3">
        <f>IF(ISNUMBER('Список деталей'!C19), 'Список деталей'!$I$4,"")</f>
        <v>16</v>
      </c>
    </row>
    <row r="12" spans="1:12" x14ac:dyDescent="0.45">
      <c r="A12" s="3">
        <f>IF(ISBLANK('Список деталей'!C20),"",'Список деталей'!A20)</f>
        <v>11</v>
      </c>
      <c r="B12" s="24">
        <f>IF(ISNUMBER('Список деталей'!C20), 'Список деталей'!C20, "")</f>
        <v>496</v>
      </c>
      <c r="C12" s="24">
        <f>IF(ISNUMBER('Список деталей'!D20), 'Список деталей'!D20, "")</f>
        <v>172</v>
      </c>
      <c r="D12" s="24">
        <f>IF(ISNUMBER('Список деталей'!E20), 'Список деталей'!E20, "")</f>
        <v>2</v>
      </c>
      <c r="E12" s="24"/>
      <c r="F12" s="25" t="str">
        <f>IF(ISBLANK('Список деталей'!F20),"",VLOOKUP('Список деталей'!F20,Справочник!$A$4:$D$11,4,0))</f>
        <v xml:space="preserve">Х Х Х 1 Х Х Х </v>
      </c>
      <c r="G12" s="25" t="str">
        <f>IF(ISBLANK('Список деталей'!G20),"",VLOOKUP('Список деталей'!G20,Справочник!$A$4:$D$11,4,0))</f>
        <v>___ 04 ___</v>
      </c>
      <c r="H12" s="25" t="str">
        <f>IF(ISBLANK('Список деталей'!H20),"",VLOOKUP('Список деталей'!H20,Справочник!$A$4:$D$11,4,0))</f>
        <v>___ 04 ___</v>
      </c>
      <c r="I12" s="25" t="str">
        <f>IF(ISBLANK('Список деталей'!I20),"",VLOOKUP('Список деталей'!I20,Справочник!$A$4:$D$11,4,0))</f>
        <v>___ 04 ___</v>
      </c>
      <c r="J12" s="24" t="str">
        <f>IF(ISBLANK('Список деталей'!K20),"",'Список деталей'!K20)</f>
        <v>РПЛ до 56*2, докромить</v>
      </c>
      <c r="K12" s="3" t="str">
        <f>IF(ISNUMBER('Список деталей'!C20), 'Список деталей'!$B$5,"")</f>
        <v>лдсп фон бежевый</v>
      </c>
      <c r="L12" s="3">
        <f>IF(ISNUMBER('Список деталей'!C20), 'Список деталей'!$I$4,"")</f>
        <v>16</v>
      </c>
    </row>
    <row r="13" spans="1:12" x14ac:dyDescent="0.45">
      <c r="A13" s="3">
        <f>IF(ISBLANK('Список деталей'!C21),"",'Список деталей'!A21)</f>
        <v>12</v>
      </c>
      <c r="B13" s="24">
        <f>IF(ISNUMBER('Список деталей'!C21), 'Список деталей'!C21, "")</f>
        <v>367</v>
      </c>
      <c r="C13" s="24">
        <f>IF(ISNUMBER('Список деталей'!D21), 'Список деталей'!D21, "")</f>
        <v>69</v>
      </c>
      <c r="D13" s="24">
        <f>IF(ISNUMBER('Список деталей'!E21), 'Список деталей'!E21, "")</f>
        <v>1</v>
      </c>
      <c r="E13" s="24"/>
      <c r="F13" s="25" t="str">
        <f>IF(ISBLANK('Список деталей'!F21),"",VLOOKUP('Список деталей'!F21,Справочник!$A$4:$D$11,4,0))</f>
        <v>___ 04 ___</v>
      </c>
      <c r="G13" s="25" t="str">
        <f>IF(ISBLANK('Список деталей'!G21),"",VLOOKUP('Список деталей'!G21,Справочник!$A$4:$D$11,4,0))</f>
        <v xml:space="preserve">Х Х Х 1 Х Х Х </v>
      </c>
      <c r="H13" s="25" t="str">
        <f>IF(ISBLANK('Список деталей'!H21),"",VLOOKUP('Список деталей'!H21,Справочник!$A$4:$D$11,4,0))</f>
        <v>___ 04 ___</v>
      </c>
      <c r="I13" s="25" t="str">
        <f>IF(ISBLANK('Список деталей'!I21),"",VLOOKUP('Список деталей'!I21,Справочник!$A$4:$D$11,4,0))</f>
        <v>___ 04 ___</v>
      </c>
      <c r="J13" s="24" t="str">
        <f>IF(ISBLANK('Список деталей'!K21),"",'Список деталей'!K21)</f>
        <v/>
      </c>
      <c r="K13" s="3" t="str">
        <f>IF(ISNUMBER('Список деталей'!C21), 'Список деталей'!$B$5,"")</f>
        <v>лдсп фон бежевый</v>
      </c>
      <c r="L13" s="3">
        <f>IF(ISNUMBER('Список деталей'!C21), 'Список деталей'!$I$4,"")</f>
        <v>16</v>
      </c>
    </row>
    <row r="14" spans="1:12" x14ac:dyDescent="0.45">
      <c r="A14" s="3">
        <f>IF(ISBLANK('Список деталей'!C22),"",'Список деталей'!A22)</f>
        <v>13</v>
      </c>
      <c r="B14" s="24">
        <f>IF(ISNUMBER('Список деталей'!C22), 'Список деталей'!C22, "")</f>
        <v>100</v>
      </c>
      <c r="C14" s="24">
        <f>IF(ISNUMBER('Список деталей'!D22), 'Список деталей'!D22, "")</f>
        <v>1000</v>
      </c>
      <c r="D14" s="24">
        <f>IF(ISNUMBER('Список деталей'!E22), 'Список деталей'!E22, "")</f>
        <v>1</v>
      </c>
      <c r="E14" s="24"/>
      <c r="F14" s="25" t="str">
        <f>IF(ISBLANK('Список деталей'!F22),"",VLOOKUP('Список деталей'!F22,Справочник!$A$4:$D$11,4,0))</f>
        <v/>
      </c>
      <c r="G14" s="25" t="str">
        <f>IF(ISBLANK('Список деталей'!G22),"",VLOOKUP('Список деталей'!G22,Справочник!$A$4:$D$11,4,0))</f>
        <v/>
      </c>
      <c r="H14" s="25" t="str">
        <f>IF(ISBLANK('Список деталей'!H22),"",VLOOKUP('Список деталей'!H22,Справочник!$A$4:$D$11,4,0))</f>
        <v/>
      </c>
      <c r="I14" s="25" t="str">
        <f>IF(ISBLANK('Список деталей'!I22),"",VLOOKUP('Список деталей'!I22,Справочник!$A$4:$D$11,4,0))</f>
        <v/>
      </c>
      <c r="J14" s="24" t="str">
        <f>IF(ISBLANK('Список деталей'!K22),"",'Список деталей'!K22)</f>
        <v/>
      </c>
      <c r="K14" s="3" t="str">
        <f>IF(ISNUMBER('Список деталей'!C22), 'Список деталей'!$B$5,"")</f>
        <v>лдсп фон бежевый</v>
      </c>
      <c r="L14" s="3">
        <f>IF(ISNUMBER('Список деталей'!C22), 'Список деталей'!$I$4,"")</f>
        <v>16</v>
      </c>
    </row>
    <row r="15" spans="1:12" x14ac:dyDescent="0.45">
      <c r="A15" s="3" t="str">
        <f>IF(ISBLANK('Список деталей'!C23),"",'Список деталей'!A23)</f>
        <v/>
      </c>
      <c r="B15" s="24" t="str">
        <f>IF(ISNUMBER('Список деталей'!C23), 'Список деталей'!C23, "")</f>
        <v/>
      </c>
      <c r="C15" s="24" t="str">
        <f>IF(ISNUMBER('Список деталей'!D23), 'Список деталей'!D23, "")</f>
        <v/>
      </c>
      <c r="D15" s="24" t="str">
        <f>IF(ISNUMBER('Список деталей'!E23), 'Список деталей'!E23, "")</f>
        <v/>
      </c>
      <c r="E15" s="24"/>
      <c r="F15" s="25" t="str">
        <f>IF(ISBLANK('Список деталей'!F23),"",VLOOKUP('Список деталей'!F23,Справочник!$A$4:$D$11,4,0))</f>
        <v/>
      </c>
      <c r="G15" s="25" t="str">
        <f>IF(ISBLANK('Список деталей'!G23),"",VLOOKUP('Список деталей'!G23,Справочник!$A$4:$D$11,4,0))</f>
        <v/>
      </c>
      <c r="H15" s="25" t="str">
        <f>IF(ISBLANK('Список деталей'!H23),"",VLOOKUP('Список деталей'!H23,Справочник!$A$4:$D$11,4,0))</f>
        <v/>
      </c>
      <c r="I15" s="25" t="str">
        <f>IF(ISBLANK('Список деталей'!I23),"",VLOOKUP('Список деталей'!I23,Справочник!$A$4:$D$11,4,0))</f>
        <v/>
      </c>
      <c r="J15" s="24" t="str">
        <f>IF(ISBLANK('Список деталей'!K23),"",'Список деталей'!K23)</f>
        <v/>
      </c>
      <c r="K15" s="3" t="str">
        <f>IF(ISNUMBER('Список деталей'!C23), 'Список деталей'!$B$5,"")</f>
        <v/>
      </c>
      <c r="L15" s="3" t="str">
        <f>IF(ISNUMBER('Список деталей'!C23), 'Список деталей'!$I$4,"")</f>
        <v/>
      </c>
    </row>
    <row r="16" spans="1:12" x14ac:dyDescent="0.45">
      <c r="A16" s="3" t="str">
        <f>IF(ISBLANK('Список деталей'!C24),"",'Список деталей'!A24)</f>
        <v/>
      </c>
      <c r="B16" s="24" t="str">
        <f>IF(ISNUMBER('Список деталей'!C24), 'Список деталей'!C24, "")</f>
        <v/>
      </c>
      <c r="C16" s="24" t="str">
        <f>IF(ISNUMBER('Список деталей'!D24), 'Список деталей'!D24, "")</f>
        <v/>
      </c>
      <c r="D16" s="24" t="str">
        <f>IF(ISNUMBER('Список деталей'!E24), 'Список деталей'!E24, "")</f>
        <v/>
      </c>
      <c r="E16" s="24"/>
      <c r="F16" s="25" t="str">
        <f>IF(ISBLANK('Список деталей'!F24),"",VLOOKUP('Список деталей'!F24,Справочник!$A$4:$D$11,4,0))</f>
        <v/>
      </c>
      <c r="G16" s="25" t="str">
        <f>IF(ISBLANK('Список деталей'!G24),"",VLOOKUP('Список деталей'!G24,Справочник!$A$4:$D$11,4,0))</f>
        <v/>
      </c>
      <c r="H16" s="25" t="str">
        <f>IF(ISBLANK('Список деталей'!H24),"",VLOOKUP('Список деталей'!H24,Справочник!$A$4:$D$11,4,0))</f>
        <v/>
      </c>
      <c r="I16" s="25" t="str">
        <f>IF(ISBLANK('Список деталей'!I24),"",VLOOKUP('Список деталей'!I24,Справочник!$A$4:$D$11,4,0))</f>
        <v/>
      </c>
      <c r="J16" s="24" t="str">
        <f>IF(ISBLANK('Список деталей'!K24),"",'Список деталей'!K24)</f>
        <v/>
      </c>
      <c r="K16" s="3" t="str">
        <f>IF(ISNUMBER('Список деталей'!C24), 'Список деталей'!$B$5,"")</f>
        <v/>
      </c>
      <c r="L16" s="3" t="str">
        <f>IF(ISNUMBER('Список деталей'!C24), 'Список деталей'!$I$4,"")</f>
        <v/>
      </c>
    </row>
    <row r="17" spans="1:12" x14ac:dyDescent="0.45">
      <c r="A17" s="3" t="str">
        <f>IF(ISBLANK('Список деталей'!C25),"",'Список деталей'!A25)</f>
        <v/>
      </c>
      <c r="B17" s="24" t="str">
        <f>IF(ISNUMBER('Список деталей'!C25), 'Список деталей'!C25, "")</f>
        <v/>
      </c>
      <c r="C17" s="24" t="str">
        <f>IF(ISNUMBER('Список деталей'!D25), 'Список деталей'!D25, "")</f>
        <v/>
      </c>
      <c r="D17" s="24" t="str">
        <f>IF(ISNUMBER('Список деталей'!E25), 'Список деталей'!E25, "")</f>
        <v/>
      </c>
      <c r="E17" s="24"/>
      <c r="F17" s="25" t="str">
        <f>IF(ISBLANK('Список деталей'!F25),"",VLOOKUP('Список деталей'!F25,Справочник!$A$4:$D$11,4,0))</f>
        <v/>
      </c>
      <c r="G17" s="25" t="str">
        <f>IF(ISBLANK('Список деталей'!G25),"",VLOOKUP('Список деталей'!G25,Справочник!$A$4:$D$11,4,0))</f>
        <v/>
      </c>
      <c r="H17" s="25" t="str">
        <f>IF(ISBLANK('Список деталей'!H25),"",VLOOKUP('Список деталей'!H25,Справочник!$A$4:$D$11,4,0))</f>
        <v/>
      </c>
      <c r="I17" s="25" t="str">
        <f>IF(ISBLANK('Список деталей'!I25),"",VLOOKUP('Список деталей'!I25,Справочник!$A$4:$D$11,4,0))</f>
        <v/>
      </c>
      <c r="J17" s="24" t="str">
        <f>IF(ISBLANK('Список деталей'!K25),"",'Список деталей'!K25)</f>
        <v/>
      </c>
      <c r="K17" s="3" t="str">
        <f>IF(ISNUMBER('Список деталей'!C25), 'Список деталей'!$B$5,"")</f>
        <v/>
      </c>
      <c r="L17" s="3" t="str">
        <f>IF(ISNUMBER('Список деталей'!C25), 'Список деталей'!$I$4,"")</f>
        <v/>
      </c>
    </row>
    <row r="18" spans="1:12" x14ac:dyDescent="0.45">
      <c r="A18" s="3" t="str">
        <f>IF(ISBLANK('Список деталей'!C26),"",'Список деталей'!A26)</f>
        <v/>
      </c>
      <c r="B18" s="24" t="str">
        <f>IF(ISNUMBER('Список деталей'!C26), 'Список деталей'!C26, "")</f>
        <v/>
      </c>
      <c r="C18" s="24" t="str">
        <f>IF(ISNUMBER('Список деталей'!D26), 'Список деталей'!D26, "")</f>
        <v/>
      </c>
      <c r="D18" s="24" t="str">
        <f>IF(ISNUMBER('Список деталей'!E26), 'Список деталей'!E26, "")</f>
        <v/>
      </c>
      <c r="E18" s="24"/>
      <c r="F18" s="25" t="str">
        <f>IF(ISBLANK('Список деталей'!F26),"",VLOOKUP('Список деталей'!F26,Справочник!$A$4:$D$11,4,0))</f>
        <v/>
      </c>
      <c r="G18" s="25" t="str">
        <f>IF(ISBLANK('Список деталей'!G26),"",VLOOKUP('Список деталей'!G26,Справочник!$A$4:$D$11,4,0))</f>
        <v/>
      </c>
      <c r="H18" s="25" t="str">
        <f>IF(ISBLANK('Список деталей'!H26),"",VLOOKUP('Список деталей'!H26,Справочник!$A$4:$D$11,4,0))</f>
        <v/>
      </c>
      <c r="I18" s="25" t="str">
        <f>IF(ISBLANK('Список деталей'!I26),"",VLOOKUP('Список деталей'!I26,Справочник!$A$4:$D$11,4,0))</f>
        <v/>
      </c>
      <c r="J18" s="24" t="str">
        <f>IF(ISBLANK('Список деталей'!K26),"",'Список деталей'!K26)</f>
        <v/>
      </c>
      <c r="K18" s="3" t="str">
        <f>IF(ISNUMBER('Список деталей'!C26), 'Список деталей'!$B$5,"")</f>
        <v/>
      </c>
      <c r="L18" s="3" t="str">
        <f>IF(ISNUMBER('Список деталей'!C26), 'Список деталей'!$I$4,"")</f>
        <v/>
      </c>
    </row>
    <row r="19" spans="1:12" x14ac:dyDescent="0.45">
      <c r="A19" s="3" t="str">
        <f>IF(ISBLANK('Список деталей'!C27),"",'Список деталей'!A27)</f>
        <v/>
      </c>
      <c r="B19" s="24" t="str">
        <f>IF(ISNUMBER('Список деталей'!C27), 'Список деталей'!C27, "")</f>
        <v/>
      </c>
      <c r="C19" s="24" t="str">
        <f>IF(ISNUMBER('Список деталей'!D27), 'Список деталей'!D27, "")</f>
        <v/>
      </c>
      <c r="D19" s="24" t="str">
        <f>IF(ISNUMBER('Список деталей'!E27), 'Список деталей'!E27, "")</f>
        <v/>
      </c>
      <c r="E19" s="24"/>
      <c r="F19" s="25" t="str">
        <f>IF(ISBLANK('Список деталей'!F27),"",VLOOKUP('Список деталей'!F27,Справочник!$A$4:$D$11,4,0))</f>
        <v/>
      </c>
      <c r="G19" s="25" t="str">
        <f>IF(ISBLANK('Список деталей'!G27),"",VLOOKUP('Список деталей'!G27,Справочник!$A$4:$D$11,4,0))</f>
        <v/>
      </c>
      <c r="H19" s="25" t="str">
        <f>IF(ISBLANK('Список деталей'!H27),"",VLOOKUP('Список деталей'!H27,Справочник!$A$4:$D$11,4,0))</f>
        <v/>
      </c>
      <c r="I19" s="25" t="str">
        <f>IF(ISBLANK('Список деталей'!I27),"",VLOOKUP('Список деталей'!I27,Справочник!$A$4:$D$11,4,0))</f>
        <v/>
      </c>
      <c r="J19" s="24" t="str">
        <f>IF(ISBLANK('Список деталей'!K27),"",'Список деталей'!K27)</f>
        <v/>
      </c>
      <c r="K19" s="3" t="str">
        <f>IF(ISNUMBER('Список деталей'!C27), 'Список деталей'!$B$5,"")</f>
        <v/>
      </c>
      <c r="L19" s="3" t="str">
        <f>IF(ISNUMBER('Список деталей'!C27), 'Список деталей'!$I$4,"")</f>
        <v/>
      </c>
    </row>
    <row r="20" spans="1:12" x14ac:dyDescent="0.45">
      <c r="A20" s="3" t="str">
        <f>IF(ISBLANK('Список деталей'!C28),"",'Список деталей'!A28)</f>
        <v/>
      </c>
      <c r="B20" s="24" t="str">
        <f>IF(ISNUMBER('Список деталей'!C28), 'Список деталей'!C28, "")</f>
        <v/>
      </c>
      <c r="C20" s="24" t="str">
        <f>IF(ISNUMBER('Список деталей'!D28), 'Список деталей'!D28, "")</f>
        <v/>
      </c>
      <c r="D20" s="24" t="str">
        <f>IF(ISNUMBER('Список деталей'!E28), 'Список деталей'!E28, "")</f>
        <v/>
      </c>
      <c r="E20" s="24"/>
      <c r="F20" s="25" t="str">
        <f>IF(ISBLANK('Список деталей'!F28),"",VLOOKUP('Список деталей'!F28,Справочник!$A$4:$D$11,4,0))</f>
        <v/>
      </c>
      <c r="G20" s="25" t="str">
        <f>IF(ISBLANK('Список деталей'!G28),"",VLOOKUP('Список деталей'!G28,Справочник!$A$4:$D$11,4,0))</f>
        <v/>
      </c>
      <c r="H20" s="25" t="str">
        <f>IF(ISBLANK('Список деталей'!H28),"",VLOOKUP('Список деталей'!H28,Справочник!$A$4:$D$11,4,0))</f>
        <v/>
      </c>
      <c r="I20" s="25" t="str">
        <f>IF(ISBLANK('Список деталей'!I28),"",VLOOKUP('Список деталей'!I28,Справочник!$A$4:$D$11,4,0))</f>
        <v/>
      </c>
      <c r="J20" s="24" t="str">
        <f>IF(ISBLANK('Список деталей'!K28),"",'Список деталей'!K28)</f>
        <v/>
      </c>
      <c r="K20" s="3" t="str">
        <f>IF(ISNUMBER('Список деталей'!C28), 'Список деталей'!$B$5,"")</f>
        <v/>
      </c>
      <c r="L20" s="3" t="str">
        <f>IF(ISNUMBER('Список деталей'!C28), 'Список деталей'!$I$4,"")</f>
        <v/>
      </c>
    </row>
    <row r="21" spans="1:12" x14ac:dyDescent="0.45">
      <c r="A21" s="3" t="str">
        <f>IF(ISBLANK('Список деталей'!C29),"",'Список деталей'!A29)</f>
        <v/>
      </c>
      <c r="B21" s="24" t="str">
        <f>IF(ISNUMBER('Список деталей'!C29), 'Список деталей'!C29, "")</f>
        <v/>
      </c>
      <c r="C21" s="24" t="str">
        <f>IF(ISNUMBER('Список деталей'!D29), 'Список деталей'!D29, "")</f>
        <v/>
      </c>
      <c r="D21" s="24" t="str">
        <f>IF(ISNUMBER('Список деталей'!E29), 'Список деталей'!E29, "")</f>
        <v/>
      </c>
      <c r="E21" s="24"/>
      <c r="F21" s="25" t="str">
        <f>IF(ISBLANK('Список деталей'!F29),"",VLOOKUP('Список деталей'!F29,Справочник!$A$4:$D$11,4,0))</f>
        <v/>
      </c>
      <c r="G21" s="25" t="str">
        <f>IF(ISBLANK('Список деталей'!G29),"",VLOOKUP('Список деталей'!G29,Справочник!$A$4:$D$11,4,0))</f>
        <v/>
      </c>
      <c r="H21" s="25" t="str">
        <f>IF(ISBLANK('Список деталей'!H29),"",VLOOKUP('Список деталей'!H29,Справочник!$A$4:$D$11,4,0))</f>
        <v/>
      </c>
      <c r="I21" s="25" t="str">
        <f>IF(ISBLANK('Список деталей'!I29),"",VLOOKUP('Список деталей'!I29,Справочник!$A$4:$D$11,4,0))</f>
        <v/>
      </c>
      <c r="J21" s="24" t="str">
        <f>IF(ISBLANK('Список деталей'!K29),"",'Список деталей'!K29)</f>
        <v/>
      </c>
      <c r="K21" s="3" t="str">
        <f>IF(ISNUMBER('Список деталей'!C29), 'Список деталей'!$B$5,"")</f>
        <v/>
      </c>
      <c r="L21" s="3" t="str">
        <f>IF(ISNUMBER('Список деталей'!C29), 'Список деталей'!$I$4,"")</f>
        <v/>
      </c>
    </row>
    <row r="22" spans="1:12" x14ac:dyDescent="0.45">
      <c r="A22" s="3" t="str">
        <f>IF(ISBLANK('Список деталей'!C30),"",'Список деталей'!A30)</f>
        <v/>
      </c>
      <c r="B22" s="24" t="str">
        <f>IF(ISNUMBER('Список деталей'!C30), 'Список деталей'!C30, "")</f>
        <v/>
      </c>
      <c r="C22" s="24" t="str">
        <f>IF(ISNUMBER('Список деталей'!D30), 'Список деталей'!D30, "")</f>
        <v/>
      </c>
      <c r="D22" s="24" t="str">
        <f>IF(ISNUMBER('Список деталей'!E30), 'Список деталей'!E30, "")</f>
        <v/>
      </c>
      <c r="E22" s="24"/>
      <c r="F22" s="25" t="str">
        <f>IF(ISBLANK('Список деталей'!F30),"",VLOOKUP('Список деталей'!F30,Справочник!$A$4:$D$11,4,0))</f>
        <v/>
      </c>
      <c r="G22" s="25" t="str">
        <f>IF(ISBLANK('Список деталей'!G30),"",VLOOKUP('Список деталей'!G30,Справочник!$A$4:$D$11,4,0))</f>
        <v/>
      </c>
      <c r="H22" s="25" t="str">
        <f>IF(ISBLANK('Список деталей'!H30),"",VLOOKUP('Список деталей'!H30,Справочник!$A$4:$D$11,4,0))</f>
        <v/>
      </c>
      <c r="I22" s="25" t="str">
        <f>IF(ISBLANK('Список деталей'!I30),"",VLOOKUP('Список деталей'!I30,Справочник!$A$4:$D$11,4,0))</f>
        <v/>
      </c>
      <c r="J22" s="24" t="str">
        <f>IF(ISBLANK('Список деталей'!K30),"",'Список деталей'!K30)</f>
        <v/>
      </c>
      <c r="K22" s="3" t="str">
        <f>IF(ISNUMBER('Список деталей'!C30), 'Список деталей'!$B$5,"")</f>
        <v/>
      </c>
      <c r="L22" s="3" t="str">
        <f>IF(ISNUMBER('Список деталей'!C30), 'Список деталей'!$I$4,"")</f>
        <v/>
      </c>
    </row>
    <row r="23" spans="1:12" x14ac:dyDescent="0.45">
      <c r="A23" s="3" t="str">
        <f>IF(ISBLANK('Список деталей'!C31),"",'Список деталей'!A31)</f>
        <v/>
      </c>
      <c r="B23" s="24" t="str">
        <f>IF(ISNUMBER('Список деталей'!C31), 'Список деталей'!C31, "")</f>
        <v/>
      </c>
      <c r="C23" s="24" t="str">
        <f>IF(ISNUMBER('Список деталей'!D31), 'Список деталей'!D31, "")</f>
        <v/>
      </c>
      <c r="D23" s="24" t="str">
        <f>IF(ISNUMBER('Список деталей'!E31), 'Список деталей'!E31, "")</f>
        <v/>
      </c>
      <c r="E23" s="24"/>
      <c r="F23" s="25" t="str">
        <f>IF(ISBLANK('Список деталей'!F31),"",VLOOKUP('Список деталей'!F31,Справочник!$A$4:$D$11,4,0))</f>
        <v/>
      </c>
      <c r="G23" s="25" t="str">
        <f>IF(ISBLANK('Список деталей'!G31),"",VLOOKUP('Список деталей'!G31,Справочник!$A$4:$D$11,4,0))</f>
        <v/>
      </c>
      <c r="H23" s="25" t="str">
        <f>IF(ISBLANK('Список деталей'!H31),"",VLOOKUP('Список деталей'!H31,Справочник!$A$4:$D$11,4,0))</f>
        <v/>
      </c>
      <c r="I23" s="25" t="str">
        <f>IF(ISBLANK('Список деталей'!I31),"",VLOOKUP('Список деталей'!I31,Справочник!$A$4:$D$11,4,0))</f>
        <v/>
      </c>
      <c r="J23" s="24" t="str">
        <f>IF(ISBLANK('Список деталей'!K31),"",'Список деталей'!K31)</f>
        <v/>
      </c>
      <c r="K23" s="3" t="str">
        <f>IF(ISNUMBER('Список деталей'!C31), 'Список деталей'!$B$5,"")</f>
        <v/>
      </c>
      <c r="L23" s="3" t="str">
        <f>IF(ISNUMBER('Список деталей'!C31), 'Список деталей'!$I$4,"")</f>
        <v/>
      </c>
    </row>
    <row r="24" spans="1:12" x14ac:dyDescent="0.45">
      <c r="A24" s="3" t="str">
        <f>IF(ISBLANK('Список деталей'!C32),"",'Список деталей'!A32)</f>
        <v/>
      </c>
      <c r="B24" s="24" t="str">
        <f>IF(ISNUMBER('Список деталей'!C32), 'Список деталей'!C32, "")</f>
        <v/>
      </c>
      <c r="C24" s="24" t="str">
        <f>IF(ISNUMBER('Список деталей'!D32), 'Список деталей'!D32, "")</f>
        <v/>
      </c>
      <c r="D24" s="24" t="str">
        <f>IF(ISNUMBER('Список деталей'!E32), 'Список деталей'!E32, "")</f>
        <v/>
      </c>
      <c r="E24" s="24"/>
      <c r="F24" s="25" t="str">
        <f>IF(ISBLANK('Список деталей'!F32),"",VLOOKUP('Список деталей'!F32,Справочник!$A$4:$D$11,4,0))</f>
        <v/>
      </c>
      <c r="G24" s="25" t="str">
        <f>IF(ISBLANK('Список деталей'!G32),"",VLOOKUP('Список деталей'!G32,Справочник!$A$4:$D$11,4,0))</f>
        <v/>
      </c>
      <c r="H24" s="25" t="str">
        <f>IF(ISBLANK('Список деталей'!H32),"",VLOOKUP('Список деталей'!H32,Справочник!$A$4:$D$11,4,0))</f>
        <v/>
      </c>
      <c r="I24" s="25" t="str">
        <f>IF(ISBLANK('Список деталей'!I32),"",VLOOKUP('Список деталей'!I32,Справочник!$A$4:$D$11,4,0))</f>
        <v/>
      </c>
      <c r="J24" s="24" t="str">
        <f>IF(ISBLANK('Список деталей'!K32),"",'Список деталей'!K32)</f>
        <v/>
      </c>
      <c r="K24" s="3" t="str">
        <f>IF(ISNUMBER('Список деталей'!C32), 'Список деталей'!$B$5,"")</f>
        <v/>
      </c>
      <c r="L24" s="3" t="str">
        <f>IF(ISNUMBER('Список деталей'!C32), 'Список деталей'!$I$4,"")</f>
        <v/>
      </c>
    </row>
    <row r="25" spans="1:12" x14ac:dyDescent="0.45">
      <c r="A25" s="3" t="str">
        <f>IF(ISBLANK('Список деталей'!C33),"",'Список деталей'!A33)</f>
        <v/>
      </c>
      <c r="B25" s="24" t="str">
        <f>IF(ISNUMBER('Список деталей'!C33), 'Список деталей'!C33, "")</f>
        <v/>
      </c>
      <c r="C25" s="24" t="str">
        <f>IF(ISNUMBER('Список деталей'!D33), 'Список деталей'!D33, "")</f>
        <v/>
      </c>
      <c r="D25" s="24" t="str">
        <f>IF(ISNUMBER('Список деталей'!E33), 'Список деталей'!E33, "")</f>
        <v/>
      </c>
      <c r="E25" s="24"/>
      <c r="F25" s="25" t="str">
        <f>IF(ISBLANK('Список деталей'!F33),"",VLOOKUP('Список деталей'!F33,Справочник!$A$4:$D$11,4,0))</f>
        <v/>
      </c>
      <c r="G25" s="25" t="str">
        <f>IF(ISBLANK('Список деталей'!G33),"",VLOOKUP('Список деталей'!G33,Справочник!$A$4:$D$11,4,0))</f>
        <v/>
      </c>
      <c r="H25" s="25" t="str">
        <f>IF(ISBLANK('Список деталей'!H33),"",VLOOKUP('Список деталей'!H33,Справочник!$A$4:$D$11,4,0))</f>
        <v/>
      </c>
      <c r="I25" s="25" t="str">
        <f>IF(ISBLANK('Список деталей'!I33),"",VLOOKUP('Список деталей'!I33,Справочник!$A$4:$D$11,4,0))</f>
        <v/>
      </c>
      <c r="J25" s="24" t="str">
        <f>IF(ISBLANK('Список деталей'!K33),"",'Список деталей'!K33)</f>
        <v/>
      </c>
      <c r="K25" s="3" t="str">
        <f>IF(ISNUMBER('Список деталей'!C33), 'Список деталей'!$B$5,"")</f>
        <v/>
      </c>
      <c r="L25" s="3" t="str">
        <f>IF(ISNUMBER('Список деталей'!C33), 'Список деталей'!$I$4,"")</f>
        <v/>
      </c>
    </row>
    <row r="26" spans="1:12" x14ac:dyDescent="0.45">
      <c r="A26" s="3" t="str">
        <f>IF(ISBLANK('Список деталей'!C34),"",'Список деталей'!A34)</f>
        <v/>
      </c>
      <c r="B26" s="24" t="str">
        <f>IF(ISNUMBER('Список деталей'!C34), 'Список деталей'!C34, "")</f>
        <v/>
      </c>
      <c r="C26" s="24" t="str">
        <f>IF(ISNUMBER('Список деталей'!D34), 'Список деталей'!D34, "")</f>
        <v/>
      </c>
      <c r="D26" s="24" t="str">
        <f>IF(ISNUMBER('Список деталей'!E34), 'Список деталей'!E34, "")</f>
        <v/>
      </c>
      <c r="E26" s="24"/>
      <c r="F26" s="25" t="str">
        <f>IF(ISBLANK('Список деталей'!F34),"",VLOOKUP('Список деталей'!F34,Справочник!$A$4:$D$11,4,0))</f>
        <v/>
      </c>
      <c r="G26" s="25" t="str">
        <f>IF(ISBLANK('Список деталей'!G34),"",VLOOKUP('Список деталей'!G34,Справочник!$A$4:$D$11,4,0))</f>
        <v/>
      </c>
      <c r="H26" s="25" t="str">
        <f>IF(ISBLANK('Список деталей'!H34),"",VLOOKUP('Список деталей'!H34,Справочник!$A$4:$D$11,4,0))</f>
        <v/>
      </c>
      <c r="I26" s="25" t="str">
        <f>IF(ISBLANK('Список деталей'!I34),"",VLOOKUP('Список деталей'!I34,Справочник!$A$4:$D$11,4,0))</f>
        <v/>
      </c>
      <c r="J26" s="24" t="str">
        <f>IF(ISBLANK('Список деталей'!K34),"",'Список деталей'!K34)</f>
        <v/>
      </c>
      <c r="K26" s="3" t="str">
        <f>IF(ISNUMBER('Список деталей'!C34), 'Список деталей'!$B$5,"")</f>
        <v/>
      </c>
      <c r="L26" s="3" t="str">
        <f>IF(ISNUMBER('Список деталей'!C34), 'Список деталей'!$I$4,"")</f>
        <v/>
      </c>
    </row>
    <row r="27" spans="1:12" x14ac:dyDescent="0.45">
      <c r="A27" s="3" t="str">
        <f>IF(ISBLANK('Список деталей'!C35),"",'Список деталей'!A35)</f>
        <v/>
      </c>
      <c r="B27" s="24" t="str">
        <f>IF(ISNUMBER('Список деталей'!C35), 'Список деталей'!C35, "")</f>
        <v/>
      </c>
      <c r="C27" s="24" t="str">
        <f>IF(ISNUMBER('Список деталей'!D35), 'Список деталей'!D35, "")</f>
        <v/>
      </c>
      <c r="D27" s="24" t="str">
        <f>IF(ISNUMBER('Список деталей'!E35), 'Список деталей'!E35, "")</f>
        <v/>
      </c>
      <c r="E27" s="24"/>
      <c r="F27" s="25" t="str">
        <f>IF(ISBLANK('Список деталей'!F35),"",VLOOKUP('Список деталей'!F35,Справочник!$A$4:$D$11,4,0))</f>
        <v/>
      </c>
      <c r="G27" s="25" t="str">
        <f>IF(ISBLANK('Список деталей'!G35),"",VLOOKUP('Список деталей'!G35,Справочник!$A$4:$D$11,4,0))</f>
        <v/>
      </c>
      <c r="H27" s="25" t="str">
        <f>IF(ISBLANK('Список деталей'!H35),"",VLOOKUP('Список деталей'!H35,Справочник!$A$4:$D$11,4,0))</f>
        <v/>
      </c>
      <c r="I27" s="25" t="str">
        <f>IF(ISBLANK('Список деталей'!I35),"",VLOOKUP('Список деталей'!I35,Справочник!$A$4:$D$11,4,0))</f>
        <v/>
      </c>
      <c r="J27" s="24" t="str">
        <f>IF(ISBLANK('Список деталей'!K35),"",'Список деталей'!K35)</f>
        <v/>
      </c>
      <c r="K27" s="3" t="str">
        <f>IF(ISNUMBER('Список деталей'!C35), 'Список деталей'!$B$5,"")</f>
        <v/>
      </c>
      <c r="L27" s="3" t="str">
        <f>IF(ISNUMBER('Список деталей'!C35), 'Список деталей'!$I$4,"")</f>
        <v/>
      </c>
    </row>
    <row r="28" spans="1:12" x14ac:dyDescent="0.45">
      <c r="A28" s="3" t="str">
        <f>IF(ISBLANK('Список деталей'!C36),"",'Список деталей'!A36)</f>
        <v/>
      </c>
      <c r="B28" s="24" t="str">
        <f>IF(ISNUMBER('Список деталей'!C36), 'Список деталей'!C36, "")</f>
        <v/>
      </c>
      <c r="C28" s="24" t="str">
        <f>IF(ISNUMBER('Список деталей'!D36), 'Список деталей'!D36, "")</f>
        <v/>
      </c>
      <c r="D28" s="24" t="str">
        <f>IF(ISNUMBER('Список деталей'!E36), 'Список деталей'!E36, "")</f>
        <v/>
      </c>
      <c r="E28" s="24"/>
      <c r="F28" s="25" t="str">
        <f>IF(ISBLANK('Список деталей'!F36),"",VLOOKUP('Список деталей'!F36,Справочник!$A$4:$D$11,4,0))</f>
        <v/>
      </c>
      <c r="G28" s="25" t="str">
        <f>IF(ISBLANK('Список деталей'!G36),"",VLOOKUP('Список деталей'!G36,Справочник!$A$4:$D$11,4,0))</f>
        <v/>
      </c>
      <c r="H28" s="25" t="str">
        <f>IF(ISBLANK('Список деталей'!H36),"",VLOOKUP('Список деталей'!H36,Справочник!$A$4:$D$11,4,0))</f>
        <v/>
      </c>
      <c r="I28" s="25" t="str">
        <f>IF(ISBLANK('Список деталей'!I36),"",VLOOKUP('Список деталей'!I36,Справочник!$A$4:$D$11,4,0))</f>
        <v/>
      </c>
      <c r="J28" s="24" t="str">
        <f>IF(ISBLANK('Список деталей'!K36),"",'Список деталей'!K36)</f>
        <v/>
      </c>
      <c r="K28" s="3" t="str">
        <f>IF(ISNUMBER('Список деталей'!C36), 'Список деталей'!$B$5,"")</f>
        <v/>
      </c>
      <c r="L28" s="3" t="str">
        <f>IF(ISNUMBER('Список деталей'!C36), 'Список деталей'!$I$4,"")</f>
        <v/>
      </c>
    </row>
    <row r="29" spans="1:12" x14ac:dyDescent="0.45">
      <c r="A29" s="3" t="str">
        <f>IF(ISBLANK('Список деталей'!C37),"",'Список деталей'!A37)</f>
        <v/>
      </c>
      <c r="B29" s="24" t="str">
        <f>IF(ISNUMBER('Список деталей'!C37), 'Список деталей'!C37, "")</f>
        <v/>
      </c>
      <c r="C29" s="24" t="str">
        <f>IF(ISNUMBER('Список деталей'!D37), 'Список деталей'!D37, "")</f>
        <v/>
      </c>
      <c r="D29" s="24" t="str">
        <f>IF(ISNUMBER('Список деталей'!E37), 'Список деталей'!E37, "")</f>
        <v/>
      </c>
      <c r="E29" s="24"/>
      <c r="F29" s="25" t="str">
        <f>IF(ISBLANK('Список деталей'!F37),"",VLOOKUP('Список деталей'!F37,Справочник!$A$4:$D$11,4,0))</f>
        <v/>
      </c>
      <c r="G29" s="25" t="str">
        <f>IF(ISBLANK('Список деталей'!G37),"",VLOOKUP('Список деталей'!G37,Справочник!$A$4:$D$11,4,0))</f>
        <v/>
      </c>
      <c r="H29" s="25" t="str">
        <f>IF(ISBLANK('Список деталей'!H37),"",VLOOKUP('Список деталей'!H37,Справочник!$A$4:$D$11,4,0))</f>
        <v/>
      </c>
      <c r="I29" s="25" t="str">
        <f>IF(ISBLANK('Список деталей'!I37),"",VLOOKUP('Список деталей'!I37,Справочник!$A$4:$D$11,4,0))</f>
        <v/>
      </c>
      <c r="J29" s="24" t="str">
        <f>IF(ISBLANK('Список деталей'!K37),"",'Список деталей'!K37)</f>
        <v/>
      </c>
      <c r="K29" s="3" t="str">
        <f>IF(ISNUMBER('Список деталей'!C37), 'Список деталей'!$B$5,"")</f>
        <v/>
      </c>
      <c r="L29" s="3" t="str">
        <f>IF(ISNUMBER('Список деталей'!C37), 'Список деталей'!$I$4,"")</f>
        <v/>
      </c>
    </row>
    <row r="30" spans="1:12" x14ac:dyDescent="0.45">
      <c r="A30" s="3" t="str">
        <f>IF(ISBLANK('Список деталей'!C38),"",'Список деталей'!A38)</f>
        <v/>
      </c>
      <c r="B30" s="24" t="str">
        <f>IF(ISNUMBER('Список деталей'!C38), 'Список деталей'!C38, "")</f>
        <v/>
      </c>
      <c r="C30" s="24" t="str">
        <f>IF(ISNUMBER('Список деталей'!D38), 'Список деталей'!D38, "")</f>
        <v/>
      </c>
      <c r="D30" s="24" t="str">
        <f>IF(ISNUMBER('Список деталей'!E38), 'Список деталей'!E38, "")</f>
        <v/>
      </c>
      <c r="E30" s="24"/>
      <c r="F30" s="25" t="str">
        <f>IF(ISBLANK('Список деталей'!F38),"",VLOOKUP('Список деталей'!F38,Справочник!$A$4:$D$11,4,0))</f>
        <v/>
      </c>
      <c r="G30" s="25" t="str">
        <f>IF(ISBLANK('Список деталей'!G38),"",VLOOKUP('Список деталей'!G38,Справочник!$A$4:$D$11,4,0))</f>
        <v/>
      </c>
      <c r="H30" s="25" t="str">
        <f>IF(ISBLANK('Список деталей'!H38),"",VLOOKUP('Список деталей'!H38,Справочник!$A$4:$D$11,4,0))</f>
        <v/>
      </c>
      <c r="I30" s="25" t="str">
        <f>IF(ISBLANK('Список деталей'!I38),"",VLOOKUP('Список деталей'!I38,Справочник!$A$4:$D$11,4,0))</f>
        <v/>
      </c>
      <c r="J30" s="24" t="str">
        <f>IF(ISBLANK('Список деталей'!K38),"",'Список деталей'!K38)</f>
        <v/>
      </c>
      <c r="K30" s="3" t="str">
        <f>IF(ISNUMBER('Список деталей'!C38), 'Список деталей'!$B$5,"")</f>
        <v/>
      </c>
      <c r="L30" s="3" t="str">
        <f>IF(ISNUMBER('Список деталей'!C38), 'Список деталей'!$I$4,"")</f>
        <v/>
      </c>
    </row>
    <row r="31" spans="1:12" x14ac:dyDescent="0.45">
      <c r="A31" s="3" t="str">
        <f>IF(ISBLANK('Список деталей'!C39),"",'Список деталей'!A39)</f>
        <v/>
      </c>
      <c r="B31" s="24" t="str">
        <f>IF(ISNUMBER('Список деталей'!C39), 'Список деталей'!C39, "")</f>
        <v/>
      </c>
      <c r="C31" s="24" t="str">
        <f>IF(ISNUMBER('Список деталей'!D39), 'Список деталей'!D39, "")</f>
        <v/>
      </c>
      <c r="D31" s="24" t="str">
        <f>IF(ISNUMBER('Список деталей'!E39), 'Список деталей'!E39, "")</f>
        <v/>
      </c>
      <c r="E31" s="24"/>
      <c r="F31" s="25" t="str">
        <f>IF(ISBLANK('Список деталей'!F39),"",VLOOKUP('Список деталей'!F39,Справочник!$A$4:$D$11,4,0))</f>
        <v/>
      </c>
      <c r="G31" s="25" t="str">
        <f>IF(ISBLANK('Список деталей'!G39),"",VLOOKUP('Список деталей'!G39,Справочник!$A$4:$D$11,4,0))</f>
        <v/>
      </c>
      <c r="H31" s="25" t="str">
        <f>IF(ISBLANK('Список деталей'!H39),"",VLOOKUP('Список деталей'!H39,Справочник!$A$4:$D$11,4,0))</f>
        <v/>
      </c>
      <c r="I31" s="25" t="str">
        <f>IF(ISBLANK('Список деталей'!I39),"",VLOOKUP('Список деталей'!I39,Справочник!$A$4:$D$11,4,0))</f>
        <v/>
      </c>
      <c r="J31" s="24" t="str">
        <f>IF(ISBLANK('Список деталей'!K39),"",'Список деталей'!K39)</f>
        <v/>
      </c>
      <c r="K31" s="3" t="str">
        <f>IF(ISNUMBER('Список деталей'!C39), 'Список деталей'!$B$5,"")</f>
        <v/>
      </c>
      <c r="L31" s="3" t="str">
        <f>IF(ISNUMBER('Список деталей'!C39), 'Список деталей'!$I$4,"")</f>
        <v/>
      </c>
    </row>
    <row r="32" spans="1:12" x14ac:dyDescent="0.45">
      <c r="A32" s="3" t="str">
        <f>IF(ISBLANK('Список деталей'!C40),"",'Список деталей'!A40)</f>
        <v/>
      </c>
      <c r="B32" s="24" t="str">
        <f>IF(ISNUMBER('Список деталей'!C40), 'Список деталей'!C40, "")</f>
        <v/>
      </c>
      <c r="C32" s="24" t="str">
        <f>IF(ISNUMBER('Список деталей'!D40), 'Список деталей'!D40, "")</f>
        <v/>
      </c>
      <c r="D32" s="24" t="str">
        <f>IF(ISNUMBER('Список деталей'!E40), 'Список деталей'!E40, "")</f>
        <v/>
      </c>
      <c r="E32" s="24"/>
      <c r="F32" s="25" t="str">
        <f>IF(ISBLANK('Список деталей'!F40),"",VLOOKUP('Список деталей'!F40,Справочник!$A$4:$D$11,4,0))</f>
        <v/>
      </c>
      <c r="G32" s="25" t="str">
        <f>IF(ISBLANK('Список деталей'!G40),"",VLOOKUP('Список деталей'!G40,Справочник!$A$4:$D$11,4,0))</f>
        <v/>
      </c>
      <c r="H32" s="25" t="str">
        <f>IF(ISBLANK('Список деталей'!H40),"",VLOOKUP('Список деталей'!H40,Справочник!$A$4:$D$11,4,0))</f>
        <v/>
      </c>
      <c r="I32" s="25" t="str">
        <f>IF(ISBLANK('Список деталей'!I40),"",VLOOKUP('Список деталей'!I40,Справочник!$A$4:$D$11,4,0))</f>
        <v/>
      </c>
      <c r="J32" s="24" t="str">
        <f>IF(ISBLANK('Список деталей'!K40),"",'Список деталей'!K40)</f>
        <v/>
      </c>
      <c r="K32" s="3" t="str">
        <f>IF(ISNUMBER('Список деталей'!C40), 'Список деталей'!$B$5,"")</f>
        <v/>
      </c>
      <c r="L32" s="3" t="str">
        <f>IF(ISNUMBER('Список деталей'!C40), 'Список деталей'!$I$4,"")</f>
        <v/>
      </c>
    </row>
    <row r="33" spans="1:12" x14ac:dyDescent="0.45">
      <c r="A33" s="3" t="str">
        <f>IF(ISBLANK('Список деталей'!C41),"",'Список деталей'!A41)</f>
        <v/>
      </c>
      <c r="B33" s="24" t="str">
        <f>IF(ISNUMBER('Список деталей'!C41), 'Список деталей'!C41, "")</f>
        <v/>
      </c>
      <c r="C33" s="24" t="str">
        <f>IF(ISNUMBER('Список деталей'!D41), 'Список деталей'!D41, "")</f>
        <v/>
      </c>
      <c r="D33" s="24" t="str">
        <f>IF(ISNUMBER('Список деталей'!E41), 'Список деталей'!E41, "")</f>
        <v/>
      </c>
      <c r="E33" s="24"/>
      <c r="F33" s="25" t="str">
        <f>IF(ISBLANK('Список деталей'!F41),"",VLOOKUP('Список деталей'!F41,Справочник!$A$4:$D$11,4,0))</f>
        <v/>
      </c>
      <c r="G33" s="25" t="str">
        <f>IF(ISBLANK('Список деталей'!G41),"",VLOOKUP('Список деталей'!G41,Справочник!$A$4:$D$11,4,0))</f>
        <v/>
      </c>
      <c r="H33" s="25" t="str">
        <f>IF(ISBLANK('Список деталей'!H41),"",VLOOKUP('Список деталей'!H41,Справочник!$A$4:$D$11,4,0))</f>
        <v/>
      </c>
      <c r="I33" s="25" t="str">
        <f>IF(ISBLANK('Список деталей'!I41),"",VLOOKUP('Список деталей'!I41,Справочник!$A$4:$D$11,4,0))</f>
        <v/>
      </c>
      <c r="J33" s="24" t="str">
        <f>IF(ISBLANK('Список деталей'!K41),"",'Список деталей'!K41)</f>
        <v/>
      </c>
      <c r="K33" s="3" t="str">
        <f>IF(ISNUMBER('Список деталей'!C41), 'Список деталей'!$B$5,"")</f>
        <v/>
      </c>
      <c r="L33" s="3" t="str">
        <f>IF(ISNUMBER('Список деталей'!C41), 'Список деталей'!$I$4,"")</f>
        <v/>
      </c>
    </row>
    <row r="34" spans="1:12" x14ac:dyDescent="0.45">
      <c r="A34" s="3" t="str">
        <f>IF(ISBLANK('Список деталей'!C42),"",'Список деталей'!A42)</f>
        <v/>
      </c>
      <c r="B34" s="24" t="str">
        <f>IF(ISNUMBER('Список деталей'!C42), 'Список деталей'!C42, "")</f>
        <v/>
      </c>
      <c r="C34" s="24" t="str">
        <f>IF(ISNUMBER('Список деталей'!D42), 'Список деталей'!D42, "")</f>
        <v/>
      </c>
      <c r="D34" s="24" t="str">
        <f>IF(ISNUMBER('Список деталей'!E42), 'Список деталей'!E42, "")</f>
        <v/>
      </c>
      <c r="E34" s="24"/>
      <c r="F34" s="25" t="str">
        <f>IF(ISBLANK('Список деталей'!F42),"",VLOOKUP('Список деталей'!F42,Справочник!$A$4:$D$11,4,0))</f>
        <v/>
      </c>
      <c r="G34" s="25" t="str">
        <f>IF(ISBLANK('Список деталей'!G42),"",VLOOKUP('Список деталей'!G42,Справочник!$A$4:$D$11,4,0))</f>
        <v/>
      </c>
      <c r="H34" s="25" t="str">
        <f>IF(ISBLANK('Список деталей'!H42),"",VLOOKUP('Список деталей'!H42,Справочник!$A$4:$D$11,4,0))</f>
        <v/>
      </c>
      <c r="I34" s="25" t="str">
        <f>IF(ISBLANK('Список деталей'!I42),"",VLOOKUP('Список деталей'!I42,Справочник!$A$4:$D$11,4,0))</f>
        <v/>
      </c>
      <c r="J34" s="24" t="str">
        <f>IF(ISBLANK('Список деталей'!K42),"",'Список деталей'!K42)</f>
        <v/>
      </c>
      <c r="K34" s="3" t="str">
        <f>IF(ISNUMBER('Список деталей'!C42), 'Список деталей'!$B$5,"")</f>
        <v/>
      </c>
      <c r="L34" s="3" t="str">
        <f>IF(ISNUMBER('Список деталей'!C42), 'Список деталей'!$I$4,"")</f>
        <v/>
      </c>
    </row>
    <row r="35" spans="1:12" x14ac:dyDescent="0.45">
      <c r="A35" s="3" t="str">
        <f>IF(ISBLANK('Список деталей'!C43),"",'Список деталей'!A43)</f>
        <v/>
      </c>
      <c r="B35" s="24" t="str">
        <f>IF(ISNUMBER('Список деталей'!C43), 'Список деталей'!C43, "")</f>
        <v/>
      </c>
      <c r="C35" s="24" t="str">
        <f>IF(ISNUMBER('Список деталей'!D43), 'Список деталей'!D43, "")</f>
        <v/>
      </c>
      <c r="D35" s="24" t="str">
        <f>IF(ISNUMBER('Список деталей'!E43), 'Список деталей'!E43, "")</f>
        <v/>
      </c>
      <c r="E35" s="24"/>
      <c r="F35" s="25" t="str">
        <f>IF(ISBLANK('Список деталей'!F43),"",VLOOKUP('Список деталей'!F43,Справочник!$A$4:$D$11,4,0))</f>
        <v/>
      </c>
      <c r="G35" s="25" t="str">
        <f>IF(ISBLANK('Список деталей'!G43),"",VLOOKUP('Список деталей'!G43,Справочник!$A$4:$D$11,4,0))</f>
        <v/>
      </c>
      <c r="H35" s="25" t="str">
        <f>IF(ISBLANK('Список деталей'!H43),"",VLOOKUP('Список деталей'!H43,Справочник!$A$4:$D$11,4,0))</f>
        <v/>
      </c>
      <c r="I35" s="25" t="str">
        <f>IF(ISBLANK('Список деталей'!I43),"",VLOOKUP('Список деталей'!I43,Справочник!$A$4:$D$11,4,0))</f>
        <v/>
      </c>
      <c r="J35" s="24" t="str">
        <f>IF(ISBLANK('Список деталей'!K43),"",'Список деталей'!K43)</f>
        <v/>
      </c>
      <c r="K35" s="3" t="str">
        <f>IF(ISNUMBER('Список деталей'!C43), 'Список деталей'!$B$5,"")</f>
        <v/>
      </c>
      <c r="L35" s="3" t="str">
        <f>IF(ISNUMBER('Список деталей'!C43), 'Список деталей'!$I$4,"")</f>
        <v/>
      </c>
    </row>
    <row r="36" spans="1:12" x14ac:dyDescent="0.45">
      <c r="A36" s="3" t="str">
        <f>IF(ISBLANK('Список деталей'!C44),"",'Список деталей'!A44)</f>
        <v/>
      </c>
      <c r="B36" s="24" t="str">
        <f>IF(ISNUMBER('Список деталей'!C44), 'Список деталей'!C44, "")</f>
        <v/>
      </c>
      <c r="C36" s="24" t="str">
        <f>IF(ISNUMBER('Список деталей'!D44), 'Список деталей'!D44, "")</f>
        <v/>
      </c>
      <c r="D36" s="24" t="str">
        <f>IF(ISNUMBER('Список деталей'!E44), 'Список деталей'!E44, "")</f>
        <v/>
      </c>
      <c r="E36" s="24"/>
      <c r="F36" s="25" t="str">
        <f>IF(ISBLANK('Список деталей'!F44),"",VLOOKUP('Список деталей'!F44,Справочник!$A$4:$D$11,4,0))</f>
        <v/>
      </c>
      <c r="G36" s="25" t="str">
        <f>IF(ISBLANK('Список деталей'!G44),"",VLOOKUP('Список деталей'!G44,Справочник!$A$4:$D$11,4,0))</f>
        <v/>
      </c>
      <c r="H36" s="25" t="str">
        <f>IF(ISBLANK('Список деталей'!H44),"",VLOOKUP('Список деталей'!H44,Справочник!$A$4:$D$11,4,0))</f>
        <v/>
      </c>
      <c r="I36" s="25" t="str">
        <f>IF(ISBLANK('Список деталей'!I44),"",VLOOKUP('Список деталей'!I44,Справочник!$A$4:$D$11,4,0))</f>
        <v/>
      </c>
      <c r="J36" s="24" t="str">
        <f>IF(ISBLANK('Список деталей'!K44),"",'Список деталей'!K44)</f>
        <v/>
      </c>
      <c r="K36" s="3" t="str">
        <f>IF(ISNUMBER('Список деталей'!C44), 'Список деталей'!$B$5,"")</f>
        <v/>
      </c>
      <c r="L36" s="3" t="str">
        <f>IF(ISNUMBER('Список деталей'!C44), 'Список деталей'!$I$4,"")</f>
        <v/>
      </c>
    </row>
    <row r="37" spans="1:12" x14ac:dyDescent="0.45">
      <c r="A37" s="3" t="str">
        <f>IF(ISBLANK('Список деталей'!C45),"",'Список деталей'!A45)</f>
        <v/>
      </c>
      <c r="B37" s="24" t="str">
        <f>IF(ISNUMBER('Список деталей'!C45), 'Список деталей'!C45, "")</f>
        <v/>
      </c>
      <c r="C37" s="24" t="str">
        <f>IF(ISNUMBER('Список деталей'!D45), 'Список деталей'!D45, "")</f>
        <v/>
      </c>
      <c r="D37" s="24" t="str">
        <f>IF(ISNUMBER('Список деталей'!E45), 'Список деталей'!E45, "")</f>
        <v/>
      </c>
      <c r="E37" s="24"/>
      <c r="F37" s="25" t="str">
        <f>IF(ISBLANK('Список деталей'!F45),"",VLOOKUP('Список деталей'!F45,Справочник!$A$4:$D$11,4,0))</f>
        <v/>
      </c>
      <c r="G37" s="25" t="str">
        <f>IF(ISBLANK('Список деталей'!G45),"",VLOOKUP('Список деталей'!G45,Справочник!$A$4:$D$11,4,0))</f>
        <v/>
      </c>
      <c r="H37" s="25" t="str">
        <f>IF(ISBLANK('Список деталей'!H45),"",VLOOKUP('Список деталей'!H45,Справочник!$A$4:$D$11,4,0))</f>
        <v/>
      </c>
      <c r="I37" s="25" t="str">
        <f>IF(ISBLANK('Список деталей'!I45),"",VLOOKUP('Список деталей'!I45,Справочник!$A$4:$D$11,4,0))</f>
        <v/>
      </c>
      <c r="J37" s="24" t="str">
        <f>IF(ISBLANK('Список деталей'!K45),"",'Список деталей'!K45)</f>
        <v/>
      </c>
      <c r="K37" s="3" t="str">
        <f>IF(ISNUMBER('Список деталей'!C45), 'Список деталей'!$B$5,"")</f>
        <v/>
      </c>
      <c r="L37" s="3" t="str">
        <f>IF(ISNUMBER('Список деталей'!C45), 'Список деталей'!$I$4,"")</f>
        <v/>
      </c>
    </row>
    <row r="38" spans="1:12" x14ac:dyDescent="0.45">
      <c r="A38" s="3" t="str">
        <f>IF(ISBLANK('Список деталей'!C46),"",'Список деталей'!A46)</f>
        <v/>
      </c>
      <c r="B38" s="24" t="str">
        <f>IF(ISNUMBER('Список деталей'!C46), 'Список деталей'!C46, "")</f>
        <v/>
      </c>
      <c r="C38" s="24" t="str">
        <f>IF(ISNUMBER('Список деталей'!D46), 'Список деталей'!D46, "")</f>
        <v/>
      </c>
      <c r="D38" s="24" t="str">
        <f>IF(ISNUMBER('Список деталей'!E46), 'Список деталей'!E46, "")</f>
        <v/>
      </c>
      <c r="E38" s="24"/>
      <c r="F38" s="25" t="str">
        <f>IF(ISBLANK('Список деталей'!F46),"",VLOOKUP('Список деталей'!F46,Справочник!$A$4:$D$11,4,0))</f>
        <v/>
      </c>
      <c r="G38" s="25" t="str">
        <f>IF(ISBLANK('Список деталей'!G46),"",VLOOKUP('Список деталей'!G46,Справочник!$A$4:$D$11,4,0))</f>
        <v/>
      </c>
      <c r="H38" s="25" t="str">
        <f>IF(ISBLANK('Список деталей'!H46),"",VLOOKUP('Список деталей'!H46,Справочник!$A$4:$D$11,4,0))</f>
        <v/>
      </c>
      <c r="I38" s="25" t="str">
        <f>IF(ISBLANK('Список деталей'!I46),"",VLOOKUP('Список деталей'!I46,Справочник!$A$4:$D$11,4,0))</f>
        <v/>
      </c>
      <c r="J38" s="24" t="str">
        <f>IF(ISBLANK('Список деталей'!K46),"",'Список деталей'!K46)</f>
        <v/>
      </c>
      <c r="K38" s="3" t="str">
        <f>IF(ISNUMBER('Список деталей'!C46), 'Список деталей'!$B$5,"")</f>
        <v/>
      </c>
      <c r="L38" s="3" t="str">
        <f>IF(ISNUMBER('Список деталей'!C46), 'Список деталей'!$I$4,"")</f>
        <v/>
      </c>
    </row>
    <row r="39" spans="1:12" x14ac:dyDescent="0.45">
      <c r="A39" s="3" t="str">
        <f>IF(ISBLANK('Список деталей'!C47),"",'Список деталей'!A47)</f>
        <v/>
      </c>
      <c r="B39" s="24" t="str">
        <f>IF(ISNUMBER('Список деталей'!C47), 'Список деталей'!C47, "")</f>
        <v/>
      </c>
      <c r="C39" s="24" t="str">
        <f>IF(ISNUMBER('Список деталей'!D47), 'Список деталей'!D47, "")</f>
        <v/>
      </c>
      <c r="D39" s="24" t="str">
        <f>IF(ISNUMBER('Список деталей'!E47), 'Список деталей'!E47, "")</f>
        <v/>
      </c>
      <c r="E39" s="24"/>
      <c r="F39" s="25" t="str">
        <f>IF(ISBLANK('Список деталей'!F47),"",VLOOKUP('Список деталей'!F47,Справочник!$A$4:$D$11,4,0))</f>
        <v/>
      </c>
      <c r="G39" s="25" t="str">
        <f>IF(ISBLANK('Список деталей'!G47),"",VLOOKUP('Список деталей'!G47,Справочник!$A$4:$D$11,4,0))</f>
        <v/>
      </c>
      <c r="H39" s="25" t="str">
        <f>IF(ISBLANK('Список деталей'!H47),"",VLOOKUP('Список деталей'!H47,Справочник!$A$4:$D$11,4,0))</f>
        <v/>
      </c>
      <c r="I39" s="25" t="str">
        <f>IF(ISBLANK('Список деталей'!I47),"",VLOOKUP('Список деталей'!I47,Справочник!$A$4:$D$11,4,0))</f>
        <v/>
      </c>
      <c r="J39" s="24" t="str">
        <f>IF(ISBLANK('Список деталей'!K47),"",'Список деталей'!K47)</f>
        <v/>
      </c>
      <c r="K39" s="3" t="str">
        <f>IF(ISNUMBER('Список деталей'!C47), 'Список деталей'!$B$5,"")</f>
        <v/>
      </c>
      <c r="L39" s="3" t="str">
        <f>IF(ISNUMBER('Список деталей'!C47), 'Список деталей'!$I$4,"")</f>
        <v/>
      </c>
    </row>
    <row r="40" spans="1:12" x14ac:dyDescent="0.45">
      <c r="A40" s="3" t="str">
        <f>IF(ISBLANK('Список деталей'!C48),"",'Список деталей'!A48)</f>
        <v/>
      </c>
      <c r="B40" s="24" t="str">
        <f>IF(ISNUMBER('Список деталей'!C48), 'Список деталей'!C48, "")</f>
        <v/>
      </c>
      <c r="C40" s="24" t="str">
        <f>IF(ISNUMBER('Список деталей'!D48), 'Список деталей'!D48, "")</f>
        <v/>
      </c>
      <c r="D40" s="24" t="str">
        <f>IF(ISNUMBER('Список деталей'!E48), 'Список деталей'!E48, "")</f>
        <v/>
      </c>
      <c r="E40" s="24"/>
      <c r="F40" s="25" t="str">
        <f>IF(ISBLANK('Список деталей'!F48),"",VLOOKUP('Список деталей'!F48,Справочник!$A$4:$D$11,4,0))</f>
        <v/>
      </c>
      <c r="G40" s="25" t="str">
        <f>IF(ISBLANK('Список деталей'!G48),"",VLOOKUP('Список деталей'!G48,Справочник!$A$4:$D$11,4,0))</f>
        <v/>
      </c>
      <c r="H40" s="25" t="str">
        <f>IF(ISBLANK('Список деталей'!H48),"",VLOOKUP('Список деталей'!H48,Справочник!$A$4:$D$11,4,0))</f>
        <v/>
      </c>
      <c r="I40" s="25" t="str">
        <f>IF(ISBLANK('Список деталей'!I48),"",VLOOKUP('Список деталей'!I48,Справочник!$A$4:$D$11,4,0))</f>
        <v/>
      </c>
      <c r="J40" s="24" t="str">
        <f>IF(ISBLANK('Список деталей'!K48),"",'Список деталей'!K48)</f>
        <v/>
      </c>
      <c r="K40" s="3" t="str">
        <f>IF(ISNUMBER('Список деталей'!C48), 'Список деталей'!$B$5,"")</f>
        <v/>
      </c>
      <c r="L40" s="3" t="str">
        <f>IF(ISNUMBER('Список деталей'!C48), 'Список деталей'!$I$4,"")</f>
        <v/>
      </c>
    </row>
    <row r="41" spans="1:12" x14ac:dyDescent="0.45">
      <c r="A41" s="3" t="str">
        <f>IF(ISBLANK('Список деталей'!C49),"",'Список деталей'!A49)</f>
        <v/>
      </c>
      <c r="B41" s="24" t="str">
        <f>IF(ISNUMBER('Список деталей'!C49), 'Список деталей'!C49, "")</f>
        <v/>
      </c>
      <c r="C41" s="24" t="str">
        <f>IF(ISNUMBER('Список деталей'!D49), 'Список деталей'!D49, "")</f>
        <v/>
      </c>
      <c r="D41" s="24" t="str">
        <f>IF(ISNUMBER('Список деталей'!E49), 'Список деталей'!E49, "")</f>
        <v/>
      </c>
      <c r="E41" s="24"/>
      <c r="F41" s="25" t="str">
        <f>IF(ISBLANK('Список деталей'!F49),"",VLOOKUP('Список деталей'!F49,Справочник!$A$4:$D$11,4,0))</f>
        <v/>
      </c>
      <c r="G41" s="25" t="str">
        <f>IF(ISBLANK('Список деталей'!G49),"",VLOOKUP('Список деталей'!G49,Справочник!$A$4:$D$11,4,0))</f>
        <v/>
      </c>
      <c r="H41" s="25" t="str">
        <f>IF(ISBLANK('Список деталей'!H49),"",VLOOKUP('Список деталей'!H49,Справочник!$A$4:$D$11,4,0))</f>
        <v/>
      </c>
      <c r="I41" s="25" t="str">
        <f>IF(ISBLANK('Список деталей'!I49),"",VLOOKUP('Список деталей'!I49,Справочник!$A$4:$D$11,4,0))</f>
        <v/>
      </c>
      <c r="J41" s="24" t="str">
        <f>IF(ISBLANK('Список деталей'!K49),"",'Список деталей'!K49)</f>
        <v/>
      </c>
      <c r="K41" s="3" t="str">
        <f>IF(ISNUMBER('Список деталей'!C49), 'Список деталей'!$B$5,"")</f>
        <v/>
      </c>
      <c r="L41" s="3" t="str">
        <f>IF(ISNUMBER('Список деталей'!C49), 'Список деталей'!$I$4,"")</f>
        <v/>
      </c>
    </row>
    <row r="42" spans="1:12" x14ac:dyDescent="0.45">
      <c r="A42" s="3" t="str">
        <f>IF(ISBLANK('Список деталей'!C50),"",'Список деталей'!A50)</f>
        <v/>
      </c>
      <c r="B42" s="24" t="str">
        <f>IF(ISNUMBER('Список деталей'!C50), 'Список деталей'!C50, "")</f>
        <v/>
      </c>
      <c r="C42" s="24" t="str">
        <f>IF(ISNUMBER('Список деталей'!D50), 'Список деталей'!D50, "")</f>
        <v/>
      </c>
      <c r="D42" s="24" t="str">
        <f>IF(ISNUMBER('Список деталей'!E50), 'Список деталей'!E50, "")</f>
        <v/>
      </c>
      <c r="E42" s="24"/>
      <c r="F42" s="25" t="str">
        <f>IF(ISBLANK('Список деталей'!F50),"",VLOOKUP('Список деталей'!F50,Справочник!$A$4:$D$11,4,0))</f>
        <v/>
      </c>
      <c r="G42" s="25" t="str">
        <f>IF(ISBLANK('Список деталей'!G50),"",VLOOKUP('Список деталей'!G50,Справочник!$A$4:$D$11,4,0))</f>
        <v/>
      </c>
      <c r="H42" s="25" t="str">
        <f>IF(ISBLANK('Список деталей'!H50),"",VLOOKUP('Список деталей'!H50,Справочник!$A$4:$D$11,4,0))</f>
        <v/>
      </c>
      <c r="I42" s="25" t="str">
        <f>IF(ISBLANK('Список деталей'!I50),"",VLOOKUP('Список деталей'!I50,Справочник!$A$4:$D$11,4,0))</f>
        <v/>
      </c>
      <c r="J42" s="24" t="str">
        <f>IF(ISBLANK('Список деталей'!K50),"",'Список деталей'!K50)</f>
        <v/>
      </c>
      <c r="K42" s="3" t="str">
        <f>IF(ISNUMBER('Список деталей'!C50), 'Список деталей'!$B$5,"")</f>
        <v/>
      </c>
      <c r="L42" s="3" t="str">
        <f>IF(ISNUMBER('Список деталей'!C50), 'Список деталей'!$I$4,"")</f>
        <v/>
      </c>
    </row>
    <row r="43" spans="1:12" x14ac:dyDescent="0.45">
      <c r="A43" s="3" t="str">
        <f>IF(ISBLANK('Список деталей'!C51),"",'Список деталей'!A51)</f>
        <v/>
      </c>
      <c r="B43" s="24" t="str">
        <f>IF(ISNUMBER('Список деталей'!C51), 'Список деталей'!C51, "")</f>
        <v/>
      </c>
      <c r="C43" s="24" t="str">
        <f>IF(ISNUMBER('Список деталей'!D51), 'Список деталей'!D51, "")</f>
        <v/>
      </c>
      <c r="D43" s="24" t="str">
        <f>IF(ISNUMBER('Список деталей'!E51), 'Список деталей'!E51, "")</f>
        <v/>
      </c>
      <c r="E43" s="24"/>
      <c r="F43" s="25" t="str">
        <f>IF(ISBLANK('Список деталей'!F51),"",VLOOKUP('Список деталей'!F51,Справочник!$A$4:$D$11,4,0))</f>
        <v/>
      </c>
      <c r="G43" s="25" t="str">
        <f>IF(ISBLANK('Список деталей'!G51),"",VLOOKUP('Список деталей'!G51,Справочник!$A$4:$D$11,4,0))</f>
        <v/>
      </c>
      <c r="H43" s="25" t="str">
        <f>IF(ISBLANK('Список деталей'!H51),"",VLOOKUP('Список деталей'!H51,Справочник!$A$4:$D$11,4,0))</f>
        <v/>
      </c>
      <c r="I43" s="25" t="str">
        <f>IF(ISBLANK('Список деталей'!I51),"",VLOOKUP('Список деталей'!I51,Справочник!$A$4:$D$11,4,0))</f>
        <v/>
      </c>
      <c r="J43" s="24" t="str">
        <f>IF(ISBLANK('Список деталей'!K51),"",'Список деталей'!K51)</f>
        <v/>
      </c>
      <c r="K43" s="3" t="str">
        <f>IF(ISNUMBER('Список деталей'!C51), 'Список деталей'!$B$5,"")</f>
        <v/>
      </c>
      <c r="L43" s="3" t="str">
        <f>IF(ISNUMBER('Список деталей'!C51), 'Список деталей'!$I$4,"")</f>
        <v/>
      </c>
    </row>
    <row r="44" spans="1:12" x14ac:dyDescent="0.45">
      <c r="A44" s="3" t="str">
        <f>IF(ISBLANK('Список деталей'!C52),"",'Список деталей'!A52)</f>
        <v/>
      </c>
      <c r="B44" s="24" t="str">
        <f>IF(ISNUMBER('Список деталей'!C52), 'Список деталей'!C52, "")</f>
        <v/>
      </c>
      <c r="C44" s="24" t="str">
        <f>IF(ISNUMBER('Список деталей'!D52), 'Список деталей'!D52, "")</f>
        <v/>
      </c>
      <c r="D44" s="24" t="str">
        <f>IF(ISNUMBER('Список деталей'!E52), 'Список деталей'!E52, "")</f>
        <v/>
      </c>
      <c r="E44" s="24"/>
      <c r="F44" s="25" t="str">
        <f>IF(ISBLANK('Список деталей'!F52),"",VLOOKUP('Список деталей'!F52,Справочник!$A$4:$D$11,4,0))</f>
        <v/>
      </c>
      <c r="G44" s="25" t="str">
        <f>IF(ISBLANK('Список деталей'!G52),"",VLOOKUP('Список деталей'!G52,Справочник!$A$4:$D$11,4,0))</f>
        <v/>
      </c>
      <c r="H44" s="25" t="str">
        <f>IF(ISBLANK('Список деталей'!H52),"",VLOOKUP('Список деталей'!H52,Справочник!$A$4:$D$11,4,0))</f>
        <v/>
      </c>
      <c r="I44" s="25" t="str">
        <f>IF(ISBLANK('Список деталей'!I52),"",VLOOKUP('Список деталей'!I52,Справочник!$A$4:$D$11,4,0))</f>
        <v/>
      </c>
      <c r="J44" s="24" t="str">
        <f>IF(ISBLANK('Список деталей'!K52),"",'Список деталей'!K52)</f>
        <v/>
      </c>
      <c r="K44" s="3" t="str">
        <f>IF(ISNUMBER('Список деталей'!C52), 'Список деталей'!$B$5,"")</f>
        <v/>
      </c>
      <c r="L44" s="3" t="str">
        <f>IF(ISNUMBER('Список деталей'!C52), 'Список деталей'!$I$4,"")</f>
        <v/>
      </c>
    </row>
    <row r="45" spans="1:12" x14ac:dyDescent="0.45">
      <c r="A45" s="3" t="str">
        <f>IF(ISBLANK('Список деталей'!C53),"",'Список деталей'!A53)</f>
        <v/>
      </c>
      <c r="B45" s="24" t="str">
        <f>IF(ISNUMBER('Список деталей'!C53), 'Список деталей'!C53, "")</f>
        <v/>
      </c>
      <c r="C45" s="24" t="str">
        <f>IF(ISNUMBER('Список деталей'!D53), 'Список деталей'!D53, "")</f>
        <v/>
      </c>
      <c r="D45" s="24" t="str">
        <f>IF(ISNUMBER('Список деталей'!E53), 'Список деталей'!E53, "")</f>
        <v/>
      </c>
      <c r="E45" s="24"/>
      <c r="F45" s="25" t="str">
        <f>IF(ISBLANK('Список деталей'!F53),"",VLOOKUP('Список деталей'!F53,Справочник!$A$4:$D$11,4,0))</f>
        <v/>
      </c>
      <c r="G45" s="25" t="str">
        <f>IF(ISBLANK('Список деталей'!G53),"",VLOOKUP('Список деталей'!G53,Справочник!$A$4:$D$11,4,0))</f>
        <v/>
      </c>
      <c r="H45" s="25" t="str">
        <f>IF(ISBLANK('Список деталей'!H53),"",VLOOKUP('Список деталей'!H53,Справочник!$A$4:$D$11,4,0))</f>
        <v/>
      </c>
      <c r="I45" s="25" t="str">
        <f>IF(ISBLANK('Список деталей'!I53),"",VLOOKUP('Список деталей'!I53,Справочник!$A$4:$D$11,4,0))</f>
        <v/>
      </c>
      <c r="J45" s="24" t="str">
        <f>IF(ISBLANK('Список деталей'!K53),"",'Список деталей'!K53)</f>
        <v/>
      </c>
      <c r="K45" s="3" t="str">
        <f>IF(ISNUMBER('Список деталей'!C53), 'Список деталей'!$B$5,"")</f>
        <v/>
      </c>
      <c r="L45" s="3" t="str">
        <f>IF(ISNUMBER('Список деталей'!C53), 'Список деталей'!$I$4,"")</f>
        <v/>
      </c>
    </row>
    <row r="46" spans="1:12" x14ac:dyDescent="0.45">
      <c r="A46" s="3" t="str">
        <f>IF(ISBLANK('Список деталей'!C54),"",'Список деталей'!A54)</f>
        <v/>
      </c>
      <c r="B46" s="24" t="str">
        <f>IF(ISNUMBER('Список деталей'!C54), 'Список деталей'!C54, "")</f>
        <v/>
      </c>
      <c r="C46" s="24" t="str">
        <f>IF(ISNUMBER('Список деталей'!D54), 'Список деталей'!D54, "")</f>
        <v/>
      </c>
      <c r="D46" s="24" t="str">
        <f>IF(ISNUMBER('Список деталей'!E54), 'Список деталей'!E54, "")</f>
        <v/>
      </c>
      <c r="E46" s="24"/>
      <c r="F46" s="25" t="str">
        <f>IF(ISBLANK('Список деталей'!F54),"",VLOOKUP('Список деталей'!F54,Справочник!$A$4:$D$11,4,0))</f>
        <v/>
      </c>
      <c r="G46" s="25" t="str">
        <f>IF(ISBLANK('Список деталей'!G54),"",VLOOKUP('Список деталей'!G54,Справочник!$A$4:$D$11,4,0))</f>
        <v/>
      </c>
      <c r="H46" s="25" t="str">
        <f>IF(ISBLANK('Список деталей'!H54),"",VLOOKUP('Список деталей'!H54,Справочник!$A$4:$D$11,4,0))</f>
        <v/>
      </c>
      <c r="I46" s="25" t="str">
        <f>IF(ISBLANK('Список деталей'!I54),"",VLOOKUP('Список деталей'!I54,Справочник!$A$4:$D$11,4,0))</f>
        <v/>
      </c>
      <c r="J46" s="24" t="str">
        <f>IF(ISBLANK('Список деталей'!K54),"",'Список деталей'!K54)</f>
        <v/>
      </c>
      <c r="K46" s="3" t="str">
        <f>IF(ISNUMBER('Список деталей'!C54), 'Список деталей'!$B$5,"")</f>
        <v/>
      </c>
      <c r="L46" s="3" t="str">
        <f>IF(ISNUMBER('Список деталей'!C54), 'Список деталей'!$I$4,"")</f>
        <v/>
      </c>
    </row>
    <row r="47" spans="1:12" x14ac:dyDescent="0.45">
      <c r="A47" s="3" t="str">
        <f>IF(ISBLANK('Список деталей'!C55),"",'Список деталей'!A55)</f>
        <v/>
      </c>
      <c r="B47" s="24" t="str">
        <f>IF(ISNUMBER('Список деталей'!C55), 'Список деталей'!C55, "")</f>
        <v/>
      </c>
      <c r="C47" s="24" t="str">
        <f>IF(ISNUMBER('Список деталей'!D55), 'Список деталей'!D55, "")</f>
        <v/>
      </c>
      <c r="D47" s="24" t="str">
        <f>IF(ISNUMBER('Список деталей'!E55), 'Список деталей'!E55, "")</f>
        <v/>
      </c>
      <c r="E47" s="24"/>
      <c r="F47" s="25" t="str">
        <f>IF(ISBLANK('Список деталей'!F55),"",VLOOKUP('Список деталей'!F55,Справочник!$A$4:$D$11,4,0))</f>
        <v/>
      </c>
      <c r="G47" s="25" t="str">
        <f>IF(ISBLANK('Список деталей'!G55),"",VLOOKUP('Список деталей'!G55,Справочник!$A$4:$D$11,4,0))</f>
        <v/>
      </c>
      <c r="H47" s="25" t="str">
        <f>IF(ISBLANK('Список деталей'!H55),"",VLOOKUP('Список деталей'!H55,Справочник!$A$4:$D$11,4,0))</f>
        <v/>
      </c>
      <c r="I47" s="25" t="str">
        <f>IF(ISBLANK('Список деталей'!I55),"",VLOOKUP('Список деталей'!I55,Справочник!$A$4:$D$11,4,0))</f>
        <v/>
      </c>
      <c r="J47" s="24" t="str">
        <f>IF(ISBLANK('Список деталей'!K55),"",'Список деталей'!K55)</f>
        <v/>
      </c>
      <c r="K47" s="3" t="str">
        <f>IF(ISNUMBER('Список деталей'!C55), 'Список деталей'!$B$5,"")</f>
        <v/>
      </c>
      <c r="L47" s="3" t="str">
        <f>IF(ISNUMBER('Список деталей'!C55), 'Список деталей'!$I$4,"")</f>
        <v/>
      </c>
    </row>
    <row r="48" spans="1:12" x14ac:dyDescent="0.45">
      <c r="A48" s="3" t="str">
        <f>IF(ISBLANK('Список деталей'!C56),"",'Список деталей'!A56)</f>
        <v/>
      </c>
      <c r="B48" s="24" t="str">
        <f>IF(ISNUMBER('Список деталей'!C56), 'Список деталей'!C56, "")</f>
        <v/>
      </c>
      <c r="C48" s="24" t="str">
        <f>IF(ISNUMBER('Список деталей'!D56), 'Список деталей'!D56, "")</f>
        <v/>
      </c>
      <c r="D48" s="24" t="str">
        <f>IF(ISNUMBER('Список деталей'!E56), 'Список деталей'!E56, "")</f>
        <v/>
      </c>
      <c r="E48" s="24"/>
      <c r="F48" s="25" t="str">
        <f>IF(ISBLANK('Список деталей'!F56),"",VLOOKUP('Список деталей'!F56,Справочник!$A$4:$D$11,4,0))</f>
        <v/>
      </c>
      <c r="G48" s="25" t="str">
        <f>IF(ISBLANK('Список деталей'!G56),"",VLOOKUP('Список деталей'!G56,Справочник!$A$4:$D$11,4,0))</f>
        <v/>
      </c>
      <c r="H48" s="25" t="str">
        <f>IF(ISBLANK('Список деталей'!H56),"",VLOOKUP('Список деталей'!H56,Справочник!$A$4:$D$11,4,0))</f>
        <v/>
      </c>
      <c r="I48" s="25" t="str">
        <f>IF(ISBLANK('Список деталей'!I56),"",VLOOKUP('Список деталей'!I56,Справочник!$A$4:$D$11,4,0))</f>
        <v/>
      </c>
      <c r="J48" s="24" t="str">
        <f>IF(ISBLANK('Список деталей'!K56),"",'Список деталей'!K56)</f>
        <v/>
      </c>
      <c r="K48" s="3" t="str">
        <f>IF(ISNUMBER('Список деталей'!C56), 'Список деталей'!$B$5,"")</f>
        <v/>
      </c>
      <c r="L48" s="3" t="str">
        <f>IF(ISNUMBER('Список деталей'!C56), 'Список деталей'!$I$4,"")</f>
        <v/>
      </c>
    </row>
    <row r="49" spans="1:12" x14ac:dyDescent="0.45">
      <c r="A49" s="3" t="str">
        <f>IF(ISBLANK('Список деталей'!C57),"",'Список деталей'!A57)</f>
        <v/>
      </c>
      <c r="B49" s="24" t="str">
        <f>IF(ISNUMBER('Список деталей'!C57), 'Список деталей'!C57, "")</f>
        <v/>
      </c>
      <c r="C49" s="24" t="str">
        <f>IF(ISNUMBER('Список деталей'!D57), 'Список деталей'!D57, "")</f>
        <v/>
      </c>
      <c r="D49" s="24" t="str">
        <f>IF(ISNUMBER('Список деталей'!E57), 'Список деталей'!E57, "")</f>
        <v/>
      </c>
      <c r="E49" s="24"/>
      <c r="F49" s="25" t="str">
        <f>IF(ISBLANK('Список деталей'!F57),"",VLOOKUP('Список деталей'!F57,Справочник!$A$4:$D$11,4,0))</f>
        <v/>
      </c>
      <c r="G49" s="25" t="str">
        <f>IF(ISBLANK('Список деталей'!G57),"",VLOOKUP('Список деталей'!G57,Справочник!$A$4:$D$11,4,0))</f>
        <v/>
      </c>
      <c r="H49" s="25" t="str">
        <f>IF(ISBLANK('Список деталей'!H57),"",VLOOKUP('Список деталей'!H57,Справочник!$A$4:$D$11,4,0))</f>
        <v/>
      </c>
      <c r="I49" s="25" t="str">
        <f>IF(ISBLANK('Список деталей'!I57),"",VLOOKUP('Список деталей'!I57,Справочник!$A$4:$D$11,4,0))</f>
        <v/>
      </c>
      <c r="J49" s="24" t="str">
        <f>IF(ISBLANK('Список деталей'!K57),"",'Список деталей'!K57)</f>
        <v/>
      </c>
      <c r="K49" s="3" t="str">
        <f>IF(ISNUMBER('Список деталей'!C57), 'Список деталей'!$B$5,"")</f>
        <v/>
      </c>
      <c r="L49" s="3" t="str">
        <f>IF(ISNUMBER('Список деталей'!C57), 'Список деталей'!$I$4,"")</f>
        <v/>
      </c>
    </row>
    <row r="50" spans="1:12" x14ac:dyDescent="0.45">
      <c r="A50" s="3" t="str">
        <f>IF(ISBLANK('Список деталей'!C58),"",'Список деталей'!A58)</f>
        <v/>
      </c>
      <c r="B50" s="24" t="str">
        <f>IF(ISNUMBER('Список деталей'!C58), 'Список деталей'!C58, "")</f>
        <v/>
      </c>
      <c r="C50" s="24" t="str">
        <f>IF(ISNUMBER('Список деталей'!D58), 'Список деталей'!D58, "")</f>
        <v/>
      </c>
      <c r="D50" s="24" t="str">
        <f>IF(ISNUMBER('Список деталей'!E58), 'Список деталей'!E58, "")</f>
        <v/>
      </c>
      <c r="E50" s="24"/>
      <c r="F50" s="25" t="str">
        <f>IF(ISBLANK('Список деталей'!F58),"",VLOOKUP('Список деталей'!F58,Справочник!$A$4:$D$11,4,0))</f>
        <v/>
      </c>
      <c r="G50" s="25" t="str">
        <f>IF(ISBLANK('Список деталей'!G58),"",VLOOKUP('Список деталей'!G58,Справочник!$A$4:$D$11,4,0))</f>
        <v/>
      </c>
      <c r="H50" s="25" t="str">
        <f>IF(ISBLANK('Список деталей'!H58),"",VLOOKUP('Список деталей'!H58,Справочник!$A$4:$D$11,4,0))</f>
        <v/>
      </c>
      <c r="I50" s="25" t="str">
        <f>IF(ISBLANK('Список деталей'!I58),"",VLOOKUP('Список деталей'!I58,Справочник!$A$4:$D$11,4,0))</f>
        <v/>
      </c>
      <c r="J50" s="24" t="str">
        <f>IF(ISBLANK('Список деталей'!K58),"",'Список деталей'!K58)</f>
        <v/>
      </c>
      <c r="K50" s="3" t="str">
        <f>IF(ISNUMBER('Список деталей'!C58), 'Список деталей'!$B$5,"")</f>
        <v/>
      </c>
      <c r="L50" s="3" t="str">
        <f>IF(ISNUMBER('Список деталей'!C58), 'Список деталей'!$I$4,"")</f>
        <v/>
      </c>
    </row>
    <row r="51" spans="1:12" x14ac:dyDescent="0.45">
      <c r="A51" s="3" t="str">
        <f>IF(ISBLANK('Список деталей'!C59),"",'Список деталей'!A59)</f>
        <v/>
      </c>
      <c r="B51" s="24" t="str">
        <f>IF(ISNUMBER('Список деталей'!C59), 'Список деталей'!C59, "")</f>
        <v/>
      </c>
      <c r="C51" s="24" t="str">
        <f>IF(ISNUMBER('Список деталей'!D59), 'Список деталей'!D59, "")</f>
        <v/>
      </c>
      <c r="D51" s="24" t="str">
        <f>IF(ISNUMBER('Список деталей'!E59), 'Список деталей'!E59, "")</f>
        <v/>
      </c>
      <c r="E51" s="24"/>
      <c r="F51" s="25" t="str">
        <f>IF(ISBLANK('Список деталей'!F59),"",VLOOKUP('Список деталей'!F59,Справочник!$A$4:$D$11,4,0))</f>
        <v/>
      </c>
      <c r="G51" s="25" t="str">
        <f>IF(ISBLANK('Список деталей'!G59),"",VLOOKUP('Список деталей'!G59,Справочник!$A$4:$D$11,4,0))</f>
        <v/>
      </c>
      <c r="H51" s="25" t="str">
        <f>IF(ISBLANK('Список деталей'!H59),"",VLOOKUP('Список деталей'!H59,Справочник!$A$4:$D$11,4,0))</f>
        <v/>
      </c>
      <c r="I51" s="25" t="str">
        <f>IF(ISBLANK('Список деталей'!I59),"",VLOOKUP('Список деталей'!I59,Справочник!$A$4:$D$11,4,0))</f>
        <v/>
      </c>
      <c r="J51" s="24" t="str">
        <f>IF(ISBLANK('Список деталей'!K59),"",'Список деталей'!K59)</f>
        <v/>
      </c>
      <c r="K51" s="3" t="str">
        <f>IF(ISNUMBER('Список деталей'!C59), 'Список деталей'!$B$5,"")</f>
        <v/>
      </c>
      <c r="L51" s="3" t="str">
        <f>IF(ISNUMBER('Список деталей'!C59), 'Список деталей'!$I$4,"")</f>
        <v/>
      </c>
    </row>
    <row r="52" spans="1:12" x14ac:dyDescent="0.45">
      <c r="A52" s="3" t="str">
        <f>IF(ISBLANK('Список деталей'!C60),"",'Список деталей'!A60)</f>
        <v/>
      </c>
      <c r="B52" s="24" t="str">
        <f>IF(ISNUMBER('Список деталей'!C60), 'Список деталей'!C60, "")</f>
        <v/>
      </c>
      <c r="C52" s="24" t="str">
        <f>IF(ISNUMBER('Список деталей'!D60), 'Список деталей'!D60, "")</f>
        <v/>
      </c>
      <c r="D52" s="24" t="str">
        <f>IF(ISNUMBER('Список деталей'!E60), 'Список деталей'!E60, "")</f>
        <v/>
      </c>
      <c r="E52" s="24"/>
      <c r="F52" s="25" t="str">
        <f>IF(ISBLANK('Список деталей'!F60),"",VLOOKUP('Список деталей'!F60,Справочник!$A$4:$D$11,4,0))</f>
        <v/>
      </c>
      <c r="G52" s="25" t="str">
        <f>IF(ISBLANK('Список деталей'!G60),"",VLOOKUP('Список деталей'!G60,Справочник!$A$4:$D$11,4,0))</f>
        <v/>
      </c>
      <c r="H52" s="25" t="str">
        <f>IF(ISBLANK('Список деталей'!H60),"",VLOOKUP('Список деталей'!H60,Справочник!$A$4:$D$11,4,0))</f>
        <v/>
      </c>
      <c r="I52" s="25" t="str">
        <f>IF(ISBLANK('Список деталей'!I60),"",VLOOKUP('Список деталей'!I60,Справочник!$A$4:$D$11,4,0))</f>
        <v/>
      </c>
      <c r="J52" s="24" t="str">
        <f>IF(ISBLANK('Список деталей'!K60),"",'Список деталей'!K60)</f>
        <v/>
      </c>
      <c r="K52" s="3" t="str">
        <f>IF(ISNUMBER('Список деталей'!C60), 'Список деталей'!$B$5,"")</f>
        <v/>
      </c>
      <c r="L52" s="3" t="str">
        <f>IF(ISNUMBER('Список деталей'!C60), 'Список деталей'!$I$4,"")</f>
        <v/>
      </c>
    </row>
    <row r="53" spans="1:12" x14ac:dyDescent="0.45">
      <c r="A53" s="3" t="str">
        <f>IF(ISBLANK('Список деталей'!C61),"",'Список деталей'!A61)</f>
        <v/>
      </c>
      <c r="B53" s="24" t="str">
        <f>IF(ISNUMBER('Список деталей'!C61), 'Список деталей'!C61, "")</f>
        <v/>
      </c>
      <c r="C53" s="24" t="str">
        <f>IF(ISNUMBER('Список деталей'!D61), 'Список деталей'!D61, "")</f>
        <v/>
      </c>
      <c r="D53" s="24" t="str">
        <f>IF(ISNUMBER('Список деталей'!E61), 'Список деталей'!E61, "")</f>
        <v/>
      </c>
      <c r="E53" s="24"/>
      <c r="F53" s="25" t="str">
        <f>IF(ISBLANK('Список деталей'!F61),"",VLOOKUP('Список деталей'!F61,Справочник!$A$4:$D$11,4,0))</f>
        <v/>
      </c>
      <c r="G53" s="25" t="str">
        <f>IF(ISBLANK('Список деталей'!G61),"",VLOOKUP('Список деталей'!G61,Справочник!$A$4:$D$11,4,0))</f>
        <v/>
      </c>
      <c r="H53" s="25" t="str">
        <f>IF(ISBLANK('Список деталей'!H61),"",VLOOKUP('Список деталей'!H61,Справочник!$A$4:$D$11,4,0))</f>
        <v/>
      </c>
      <c r="I53" s="25" t="str">
        <f>IF(ISBLANK('Список деталей'!I61),"",VLOOKUP('Список деталей'!I61,Справочник!$A$4:$D$11,4,0))</f>
        <v/>
      </c>
      <c r="J53" s="24" t="str">
        <f>IF(ISBLANK('Список деталей'!K61),"",'Список деталей'!K61)</f>
        <v/>
      </c>
      <c r="K53" s="3" t="str">
        <f>IF(ISNUMBER('Список деталей'!C61), 'Список деталей'!$B$5,"")</f>
        <v/>
      </c>
      <c r="L53" s="3" t="str">
        <f>IF(ISNUMBER('Список деталей'!C61), 'Список деталей'!$I$4,"")</f>
        <v/>
      </c>
    </row>
    <row r="54" spans="1:12" x14ac:dyDescent="0.45">
      <c r="A54" s="3" t="str">
        <f>IF(ISBLANK('Список деталей'!C62),"",'Список деталей'!A62)</f>
        <v/>
      </c>
      <c r="B54" s="24" t="str">
        <f>IF(ISNUMBER('Список деталей'!C62), 'Список деталей'!C62, "")</f>
        <v/>
      </c>
      <c r="C54" s="24" t="str">
        <f>IF(ISNUMBER('Список деталей'!D62), 'Список деталей'!D62, "")</f>
        <v/>
      </c>
      <c r="D54" s="24" t="str">
        <f>IF(ISNUMBER('Список деталей'!E62), 'Список деталей'!E62, "")</f>
        <v/>
      </c>
      <c r="E54" s="24"/>
      <c r="F54" s="25" t="str">
        <f>IF(ISBLANK('Список деталей'!F62),"",VLOOKUP('Список деталей'!F62,Справочник!$A$4:$D$11,4,0))</f>
        <v/>
      </c>
      <c r="G54" s="25" t="str">
        <f>IF(ISBLANK('Список деталей'!G62),"",VLOOKUP('Список деталей'!G62,Справочник!$A$4:$D$11,4,0))</f>
        <v/>
      </c>
      <c r="H54" s="25" t="str">
        <f>IF(ISBLANK('Список деталей'!H62),"",VLOOKUP('Список деталей'!H62,Справочник!$A$4:$D$11,4,0))</f>
        <v/>
      </c>
      <c r="I54" s="25" t="str">
        <f>IF(ISBLANK('Список деталей'!I62),"",VLOOKUP('Список деталей'!I62,Справочник!$A$4:$D$11,4,0))</f>
        <v/>
      </c>
      <c r="J54" s="24" t="str">
        <f>IF(ISBLANK('Список деталей'!K62),"",'Список деталей'!K62)</f>
        <v/>
      </c>
      <c r="K54" s="3" t="str">
        <f>IF(ISNUMBER('Список деталей'!C62), 'Список деталей'!$B$5,"")</f>
        <v/>
      </c>
      <c r="L54" s="3" t="str">
        <f>IF(ISNUMBER('Список деталей'!C62), 'Список деталей'!$I$4,"")</f>
        <v/>
      </c>
    </row>
    <row r="55" spans="1:12" x14ac:dyDescent="0.45">
      <c r="A55" s="3" t="str">
        <f>IF(ISBLANK('Список деталей'!C63),"",'Список деталей'!A63)</f>
        <v/>
      </c>
      <c r="B55" s="24" t="str">
        <f>IF(ISNUMBER('Список деталей'!C63), 'Список деталей'!C63, "")</f>
        <v/>
      </c>
      <c r="C55" s="24" t="str">
        <f>IF(ISNUMBER('Список деталей'!D63), 'Список деталей'!D63, "")</f>
        <v/>
      </c>
      <c r="D55" s="24" t="str">
        <f>IF(ISNUMBER('Список деталей'!E63), 'Список деталей'!E63, "")</f>
        <v/>
      </c>
      <c r="E55" s="24"/>
      <c r="F55" s="25" t="str">
        <f>IF(ISBLANK('Список деталей'!F63),"",VLOOKUP('Список деталей'!F63,Справочник!$A$4:$D$11,4,0))</f>
        <v/>
      </c>
      <c r="G55" s="25" t="str">
        <f>IF(ISBLANK('Список деталей'!G63),"",VLOOKUP('Список деталей'!G63,Справочник!$A$4:$D$11,4,0))</f>
        <v/>
      </c>
      <c r="H55" s="25" t="str">
        <f>IF(ISBLANK('Список деталей'!H63),"",VLOOKUP('Список деталей'!H63,Справочник!$A$4:$D$11,4,0))</f>
        <v/>
      </c>
      <c r="I55" s="25" t="str">
        <f>IF(ISBLANK('Список деталей'!I63),"",VLOOKUP('Список деталей'!I63,Справочник!$A$4:$D$11,4,0))</f>
        <v/>
      </c>
      <c r="J55" s="24" t="str">
        <f>IF(ISBLANK('Список деталей'!K63),"",'Список деталей'!K63)</f>
        <v/>
      </c>
      <c r="K55" s="3" t="str">
        <f>IF(ISNUMBER('Список деталей'!C63), 'Список деталей'!$B$5,"")</f>
        <v/>
      </c>
      <c r="L55" s="3" t="str">
        <f>IF(ISNUMBER('Список деталей'!C63), 'Список деталей'!$I$4,"")</f>
        <v/>
      </c>
    </row>
    <row r="56" spans="1:12" x14ac:dyDescent="0.45">
      <c r="A56" s="3" t="str">
        <f>IF(ISBLANK('Список деталей'!C64),"",'Список деталей'!A64)</f>
        <v/>
      </c>
      <c r="B56" s="24" t="str">
        <f>IF(ISNUMBER('Список деталей'!C64), 'Список деталей'!C64, "")</f>
        <v/>
      </c>
      <c r="C56" s="24" t="str">
        <f>IF(ISNUMBER('Список деталей'!D64), 'Список деталей'!D64, "")</f>
        <v/>
      </c>
      <c r="D56" s="24" t="str">
        <f>IF(ISNUMBER('Список деталей'!E64), 'Список деталей'!E64, "")</f>
        <v/>
      </c>
      <c r="E56" s="24"/>
      <c r="F56" s="25" t="str">
        <f>IF(ISBLANK('Список деталей'!F64),"",VLOOKUP('Список деталей'!F64,Справочник!$A$4:$D$11,4,0))</f>
        <v/>
      </c>
      <c r="G56" s="25" t="str">
        <f>IF(ISBLANK('Список деталей'!G64),"",VLOOKUP('Список деталей'!G64,Справочник!$A$4:$D$11,4,0))</f>
        <v/>
      </c>
      <c r="H56" s="25" t="str">
        <f>IF(ISBLANK('Список деталей'!H64),"",VLOOKUP('Список деталей'!H64,Справочник!$A$4:$D$11,4,0))</f>
        <v/>
      </c>
      <c r="I56" s="25" t="str">
        <f>IF(ISBLANK('Список деталей'!I64),"",VLOOKUP('Список деталей'!I64,Справочник!$A$4:$D$11,4,0))</f>
        <v/>
      </c>
      <c r="J56" s="24" t="str">
        <f>IF(ISBLANK('Список деталей'!K64),"",'Список деталей'!K64)</f>
        <v/>
      </c>
      <c r="K56" s="3" t="str">
        <f>IF(ISNUMBER('Список деталей'!C64), 'Список деталей'!$B$5,"")</f>
        <v/>
      </c>
      <c r="L56" s="3" t="str">
        <f>IF(ISNUMBER('Список деталей'!C64), 'Список деталей'!$I$4,"")</f>
        <v/>
      </c>
    </row>
    <row r="57" spans="1:12" x14ac:dyDescent="0.45">
      <c r="A57" s="3" t="str">
        <f>IF(ISBLANK('Список деталей'!C65),"",'Список деталей'!A65)</f>
        <v/>
      </c>
      <c r="B57" s="24" t="str">
        <f>IF(ISNUMBER('Список деталей'!C65), 'Список деталей'!C65, "")</f>
        <v/>
      </c>
      <c r="C57" s="24" t="str">
        <f>IF(ISNUMBER('Список деталей'!D65), 'Список деталей'!D65, "")</f>
        <v/>
      </c>
      <c r="D57" s="24" t="str">
        <f>IF(ISNUMBER('Список деталей'!E65), 'Список деталей'!E65, "")</f>
        <v/>
      </c>
      <c r="E57" s="24"/>
      <c r="F57" s="25" t="str">
        <f>IF(ISBLANK('Список деталей'!F65),"",VLOOKUP('Список деталей'!F65,Справочник!$A$4:$D$11,4,0))</f>
        <v/>
      </c>
      <c r="G57" s="25" t="str">
        <f>IF(ISBLANK('Список деталей'!G65),"",VLOOKUP('Список деталей'!G65,Справочник!$A$4:$D$11,4,0))</f>
        <v/>
      </c>
      <c r="H57" s="25" t="str">
        <f>IF(ISBLANK('Список деталей'!H65),"",VLOOKUP('Список деталей'!H65,Справочник!$A$4:$D$11,4,0))</f>
        <v/>
      </c>
      <c r="I57" s="25" t="str">
        <f>IF(ISBLANK('Список деталей'!I65),"",VLOOKUP('Список деталей'!I65,Справочник!$A$4:$D$11,4,0))</f>
        <v/>
      </c>
      <c r="J57" s="24" t="str">
        <f>IF(ISBLANK('Список деталей'!K65),"",'Список деталей'!K65)</f>
        <v/>
      </c>
      <c r="K57" s="3" t="str">
        <f>IF(ISNUMBER('Список деталей'!C65), 'Список деталей'!$B$5,"")</f>
        <v/>
      </c>
      <c r="L57" s="3" t="str">
        <f>IF(ISNUMBER('Список деталей'!C65), 'Список деталей'!$I$4,"")</f>
        <v/>
      </c>
    </row>
    <row r="58" spans="1:12" x14ac:dyDescent="0.45">
      <c r="A58" s="3" t="str">
        <f>IF(ISBLANK('Список деталей'!C66),"",'Список деталей'!A66)</f>
        <v/>
      </c>
      <c r="B58" s="24" t="str">
        <f>IF(ISNUMBER('Список деталей'!C66), 'Список деталей'!C66, "")</f>
        <v/>
      </c>
      <c r="C58" s="24" t="str">
        <f>IF(ISNUMBER('Список деталей'!D66), 'Список деталей'!D66, "")</f>
        <v/>
      </c>
      <c r="D58" s="24" t="str">
        <f>IF(ISNUMBER('Список деталей'!E66), 'Список деталей'!E66, "")</f>
        <v/>
      </c>
      <c r="E58" s="24"/>
      <c r="F58" s="25" t="str">
        <f>IF(ISBLANK('Список деталей'!F66),"",VLOOKUP('Список деталей'!F66,Справочник!$A$4:$D$11,4,0))</f>
        <v/>
      </c>
      <c r="G58" s="25" t="str">
        <f>IF(ISBLANK('Список деталей'!G66),"",VLOOKUP('Список деталей'!G66,Справочник!$A$4:$D$11,4,0))</f>
        <v/>
      </c>
      <c r="H58" s="25" t="str">
        <f>IF(ISBLANK('Список деталей'!H66),"",VLOOKUP('Список деталей'!H66,Справочник!$A$4:$D$11,4,0))</f>
        <v/>
      </c>
      <c r="I58" s="25" t="str">
        <f>IF(ISBLANK('Список деталей'!I66),"",VLOOKUP('Список деталей'!I66,Справочник!$A$4:$D$11,4,0))</f>
        <v/>
      </c>
      <c r="J58" s="24" t="str">
        <f>IF(ISBLANK('Список деталей'!K66),"",'Список деталей'!K66)</f>
        <v/>
      </c>
      <c r="K58" s="3" t="str">
        <f>IF(ISNUMBER('Список деталей'!C66), 'Список деталей'!$B$5,"")</f>
        <v/>
      </c>
      <c r="L58" s="3" t="str">
        <f>IF(ISNUMBER('Список деталей'!C66), 'Список деталей'!$I$4,"")</f>
        <v/>
      </c>
    </row>
    <row r="59" spans="1:12" x14ac:dyDescent="0.45">
      <c r="A59" s="3" t="str">
        <f>IF(ISBLANK('Список деталей'!C67),"",'Список деталей'!A67)</f>
        <v/>
      </c>
      <c r="B59" s="24" t="str">
        <f>IF(ISNUMBER('Список деталей'!C67), 'Список деталей'!C67, "")</f>
        <v/>
      </c>
      <c r="C59" s="24" t="str">
        <f>IF(ISNUMBER('Список деталей'!D67), 'Список деталей'!D67, "")</f>
        <v/>
      </c>
      <c r="D59" s="24" t="str">
        <f>IF(ISNUMBER('Список деталей'!E67), 'Список деталей'!E67, "")</f>
        <v/>
      </c>
      <c r="E59" s="24"/>
      <c r="F59" s="25" t="str">
        <f>IF(ISBLANK('Список деталей'!F67),"",VLOOKUP('Список деталей'!F67,Справочник!$A$4:$D$11,4,0))</f>
        <v/>
      </c>
      <c r="G59" s="25" t="str">
        <f>IF(ISBLANK('Список деталей'!G67),"",VLOOKUP('Список деталей'!G67,Справочник!$A$4:$D$11,4,0))</f>
        <v/>
      </c>
      <c r="H59" s="25" t="str">
        <f>IF(ISBLANK('Список деталей'!H67),"",VLOOKUP('Список деталей'!H67,Справочник!$A$4:$D$11,4,0))</f>
        <v/>
      </c>
      <c r="I59" s="25" t="str">
        <f>IF(ISBLANK('Список деталей'!I67),"",VLOOKUP('Список деталей'!I67,Справочник!$A$4:$D$11,4,0))</f>
        <v/>
      </c>
      <c r="J59" s="24" t="str">
        <f>IF(ISBLANK('Список деталей'!K67),"",'Список деталей'!K67)</f>
        <v/>
      </c>
      <c r="K59" s="3" t="str">
        <f>IF(ISNUMBER('Список деталей'!C67), 'Список деталей'!$B$5,"")</f>
        <v/>
      </c>
      <c r="L59" s="3" t="str">
        <f>IF(ISNUMBER('Список деталей'!C67), 'Список деталей'!$I$4,"")</f>
        <v/>
      </c>
    </row>
    <row r="60" spans="1:12" x14ac:dyDescent="0.45">
      <c r="A60" s="3" t="str">
        <f>IF(ISBLANK('Список деталей'!C68),"",'Список деталей'!A68)</f>
        <v/>
      </c>
      <c r="B60" s="24" t="str">
        <f>IF(ISNUMBER('Список деталей'!C68), 'Список деталей'!C68, "")</f>
        <v/>
      </c>
      <c r="C60" s="24" t="str">
        <f>IF(ISNUMBER('Список деталей'!D68), 'Список деталей'!D68, "")</f>
        <v/>
      </c>
      <c r="D60" s="24" t="str">
        <f>IF(ISNUMBER('Список деталей'!E68), 'Список деталей'!E68, "")</f>
        <v/>
      </c>
      <c r="E60" s="24"/>
      <c r="F60" s="25" t="str">
        <f>IF(ISBLANK('Список деталей'!F68),"",VLOOKUP('Список деталей'!F68,Справочник!$A$4:$D$11,4,0))</f>
        <v/>
      </c>
      <c r="G60" s="25" t="str">
        <f>IF(ISBLANK('Список деталей'!G68),"",VLOOKUP('Список деталей'!G68,Справочник!$A$4:$D$11,4,0))</f>
        <v/>
      </c>
      <c r="H60" s="25" t="str">
        <f>IF(ISBLANK('Список деталей'!H68),"",VLOOKUP('Список деталей'!H68,Справочник!$A$4:$D$11,4,0))</f>
        <v/>
      </c>
      <c r="I60" s="25" t="str">
        <f>IF(ISBLANK('Список деталей'!I68),"",VLOOKUP('Список деталей'!I68,Справочник!$A$4:$D$11,4,0))</f>
        <v/>
      </c>
      <c r="J60" s="24" t="str">
        <f>IF(ISBLANK('Список деталей'!K68),"",'Список деталей'!K68)</f>
        <v/>
      </c>
      <c r="K60" s="3" t="str">
        <f>IF(ISNUMBER('Список деталей'!C68), 'Список деталей'!$B$5,"")</f>
        <v/>
      </c>
      <c r="L60" s="3" t="str">
        <f>IF(ISNUMBER('Список деталей'!C68), 'Список деталей'!$I$4,"")</f>
        <v/>
      </c>
    </row>
    <row r="61" spans="1:12" x14ac:dyDescent="0.45">
      <c r="A61" s="3" t="str">
        <f>IF(ISBLANK('Список деталей'!C69),"",'Список деталей'!A69)</f>
        <v/>
      </c>
      <c r="B61" s="24" t="str">
        <f>IF(ISNUMBER('Список деталей'!C69), 'Список деталей'!C69, "")</f>
        <v/>
      </c>
      <c r="C61" s="24" t="str">
        <f>IF(ISNUMBER('Список деталей'!D69), 'Список деталей'!D69, "")</f>
        <v/>
      </c>
      <c r="D61" s="24" t="str">
        <f>IF(ISNUMBER('Список деталей'!E69), 'Список деталей'!E69, "")</f>
        <v/>
      </c>
      <c r="E61" s="24"/>
      <c r="F61" s="25" t="str">
        <f>IF(ISBLANK('Список деталей'!F69),"",VLOOKUP('Список деталей'!F69,Справочник!$A$4:$D$11,4,0))</f>
        <v/>
      </c>
      <c r="G61" s="25" t="str">
        <f>IF(ISBLANK('Список деталей'!G69),"",VLOOKUP('Список деталей'!G69,Справочник!$A$4:$D$11,4,0))</f>
        <v/>
      </c>
      <c r="H61" s="25" t="str">
        <f>IF(ISBLANK('Список деталей'!H69),"",VLOOKUP('Список деталей'!H69,Справочник!$A$4:$D$11,4,0))</f>
        <v/>
      </c>
      <c r="I61" s="25" t="str">
        <f>IF(ISBLANK('Список деталей'!I69),"",VLOOKUP('Список деталей'!I69,Справочник!$A$4:$D$11,4,0))</f>
        <v/>
      </c>
      <c r="J61" s="24" t="str">
        <f>IF(ISBLANK('Список деталей'!K69),"",'Список деталей'!K69)</f>
        <v/>
      </c>
      <c r="K61" s="3" t="str">
        <f>IF(ISNUMBER('Список деталей'!C69), 'Список деталей'!$B$5,"")</f>
        <v/>
      </c>
      <c r="L61" s="3" t="str">
        <f>IF(ISNUMBER('Список деталей'!C69), 'Список деталей'!$I$4,"")</f>
        <v/>
      </c>
    </row>
    <row r="62" spans="1:12" x14ac:dyDescent="0.45">
      <c r="A62" s="3" t="str">
        <f>IF(ISBLANK('Список деталей'!C70),"",'Список деталей'!A70)</f>
        <v/>
      </c>
      <c r="B62" s="24" t="str">
        <f>IF(ISNUMBER('Список деталей'!C70), 'Список деталей'!C70, "")</f>
        <v/>
      </c>
      <c r="C62" s="24" t="str">
        <f>IF(ISNUMBER('Список деталей'!D70), 'Список деталей'!D70, "")</f>
        <v/>
      </c>
      <c r="D62" s="24" t="str">
        <f>IF(ISNUMBER('Список деталей'!E70), 'Список деталей'!E70, "")</f>
        <v/>
      </c>
      <c r="E62" s="24"/>
      <c r="F62" s="25" t="str">
        <f>IF(ISBLANK('Список деталей'!F70),"",VLOOKUP('Список деталей'!F70,Справочник!$A$4:$D$11,4,0))</f>
        <v/>
      </c>
      <c r="G62" s="25" t="str">
        <f>IF(ISBLANK('Список деталей'!G70),"",VLOOKUP('Список деталей'!G70,Справочник!$A$4:$D$11,4,0))</f>
        <v/>
      </c>
      <c r="H62" s="25" t="str">
        <f>IF(ISBLANK('Список деталей'!H70),"",VLOOKUP('Список деталей'!H70,Справочник!$A$4:$D$11,4,0))</f>
        <v/>
      </c>
      <c r="I62" s="25" t="str">
        <f>IF(ISBLANK('Список деталей'!I70),"",VLOOKUP('Список деталей'!I70,Справочник!$A$4:$D$11,4,0))</f>
        <v/>
      </c>
      <c r="J62" s="24" t="str">
        <f>IF(ISBLANK('Список деталей'!K70),"",'Список деталей'!K70)</f>
        <v/>
      </c>
      <c r="K62" s="3" t="str">
        <f>IF(ISNUMBER('Список деталей'!C70), 'Список деталей'!$B$5,"")</f>
        <v/>
      </c>
      <c r="L62" s="3" t="str">
        <f>IF(ISNUMBER('Список деталей'!C70), 'Список деталей'!$I$4,"")</f>
        <v/>
      </c>
    </row>
    <row r="63" spans="1:12" x14ac:dyDescent="0.45">
      <c r="A63" s="3" t="str">
        <f>IF(ISBLANK('Список деталей'!C71),"",'Список деталей'!A71)</f>
        <v/>
      </c>
      <c r="B63" s="24" t="str">
        <f>IF(ISNUMBER('Список деталей'!C71), 'Список деталей'!C71, "")</f>
        <v/>
      </c>
      <c r="C63" s="24" t="str">
        <f>IF(ISNUMBER('Список деталей'!D71), 'Список деталей'!D71, "")</f>
        <v/>
      </c>
      <c r="D63" s="24" t="str">
        <f>IF(ISNUMBER('Список деталей'!E71), 'Список деталей'!E71, "")</f>
        <v/>
      </c>
      <c r="E63" s="24"/>
      <c r="F63" s="25" t="str">
        <f>IF(ISBLANK('Список деталей'!F71),"",VLOOKUP('Список деталей'!F71,Справочник!$A$4:$D$11,4,0))</f>
        <v/>
      </c>
      <c r="G63" s="25" t="str">
        <f>IF(ISBLANK('Список деталей'!G71),"",VLOOKUP('Список деталей'!G71,Справочник!$A$4:$D$11,4,0))</f>
        <v/>
      </c>
      <c r="H63" s="25" t="str">
        <f>IF(ISBLANK('Список деталей'!H71),"",VLOOKUP('Список деталей'!H71,Справочник!$A$4:$D$11,4,0))</f>
        <v/>
      </c>
      <c r="I63" s="25" t="str">
        <f>IF(ISBLANK('Список деталей'!I71),"",VLOOKUP('Список деталей'!I71,Справочник!$A$4:$D$11,4,0))</f>
        <v/>
      </c>
      <c r="J63" s="24" t="str">
        <f>IF(ISBLANK('Список деталей'!K71),"",'Список деталей'!K71)</f>
        <v/>
      </c>
      <c r="K63" s="3" t="str">
        <f>IF(ISNUMBER('Список деталей'!C71), 'Список деталей'!$B$5,"")</f>
        <v/>
      </c>
      <c r="L63" s="3" t="str">
        <f>IF(ISNUMBER('Список деталей'!C71), 'Список деталей'!$I$4,"")</f>
        <v/>
      </c>
    </row>
    <row r="64" spans="1:12" x14ac:dyDescent="0.45">
      <c r="A64" s="3" t="str">
        <f>IF(ISBLANK('Список деталей'!C72),"",'Список деталей'!A72)</f>
        <v/>
      </c>
      <c r="B64" s="24" t="str">
        <f>IF(ISNUMBER('Список деталей'!C72), 'Список деталей'!C72, "")</f>
        <v/>
      </c>
      <c r="C64" s="24" t="str">
        <f>IF(ISNUMBER('Список деталей'!D72), 'Список деталей'!D72, "")</f>
        <v/>
      </c>
      <c r="D64" s="24" t="str">
        <f>IF(ISNUMBER('Список деталей'!E72), 'Список деталей'!E72, "")</f>
        <v/>
      </c>
      <c r="E64" s="24"/>
      <c r="F64" s="25" t="str">
        <f>IF(ISBLANK('Список деталей'!F72),"",VLOOKUP('Список деталей'!F72,Справочник!$A$4:$D$11,4,0))</f>
        <v/>
      </c>
      <c r="G64" s="25" t="str">
        <f>IF(ISBLANK('Список деталей'!G72),"",VLOOKUP('Список деталей'!G72,Справочник!$A$4:$D$11,4,0))</f>
        <v/>
      </c>
      <c r="H64" s="25" t="str">
        <f>IF(ISBLANK('Список деталей'!H72),"",VLOOKUP('Список деталей'!H72,Справочник!$A$4:$D$11,4,0))</f>
        <v/>
      </c>
      <c r="I64" s="25" t="str">
        <f>IF(ISBLANK('Список деталей'!I72),"",VLOOKUP('Список деталей'!I72,Справочник!$A$4:$D$11,4,0))</f>
        <v/>
      </c>
      <c r="J64" s="24" t="str">
        <f>IF(ISBLANK('Список деталей'!K72),"",'Список деталей'!K72)</f>
        <v/>
      </c>
      <c r="K64" s="3" t="str">
        <f>IF(ISNUMBER('Список деталей'!C72), 'Список деталей'!$B$5,"")</f>
        <v/>
      </c>
      <c r="L64" s="3" t="str">
        <f>IF(ISNUMBER('Список деталей'!C72), 'Список деталей'!$I$4,"")</f>
        <v/>
      </c>
    </row>
    <row r="65" spans="1:12" x14ac:dyDescent="0.45">
      <c r="A65" s="3" t="str">
        <f>IF(ISBLANK('Список деталей'!C73),"",'Список деталей'!A73)</f>
        <v/>
      </c>
      <c r="B65" s="24" t="str">
        <f>IF(ISNUMBER('Список деталей'!C73), 'Список деталей'!C73, "")</f>
        <v/>
      </c>
      <c r="C65" s="24" t="str">
        <f>IF(ISNUMBER('Список деталей'!D73), 'Список деталей'!D73, "")</f>
        <v/>
      </c>
      <c r="D65" s="24" t="str">
        <f>IF(ISNUMBER('Список деталей'!E73), 'Список деталей'!E73, "")</f>
        <v/>
      </c>
      <c r="E65" s="24"/>
      <c r="F65" s="25" t="str">
        <f>IF(ISBLANK('Список деталей'!F73),"",VLOOKUP('Список деталей'!F73,Справочник!$A$4:$D$11,4,0))</f>
        <v/>
      </c>
      <c r="G65" s="25" t="str">
        <f>IF(ISBLANK('Список деталей'!G73),"",VLOOKUP('Список деталей'!G73,Справочник!$A$4:$D$11,4,0))</f>
        <v/>
      </c>
      <c r="H65" s="25" t="str">
        <f>IF(ISBLANK('Список деталей'!H73),"",VLOOKUP('Список деталей'!H73,Справочник!$A$4:$D$11,4,0))</f>
        <v/>
      </c>
      <c r="I65" s="25" t="str">
        <f>IF(ISBLANK('Список деталей'!I73),"",VLOOKUP('Список деталей'!I73,Справочник!$A$4:$D$11,4,0))</f>
        <v/>
      </c>
      <c r="J65" s="24" t="str">
        <f>IF(ISBLANK('Список деталей'!K73),"",'Список деталей'!K73)</f>
        <v/>
      </c>
      <c r="K65" s="3" t="str">
        <f>IF(ISNUMBER('Список деталей'!C73), 'Список деталей'!$B$5,"")</f>
        <v/>
      </c>
      <c r="L65" s="3" t="str">
        <f>IF(ISNUMBER('Список деталей'!C73), 'Список деталей'!$I$4,"")</f>
        <v/>
      </c>
    </row>
    <row r="66" spans="1:12" x14ac:dyDescent="0.45">
      <c r="A66" s="3" t="str">
        <f>IF(ISBLANK('Список деталей'!C74),"",'Список деталей'!A74)</f>
        <v/>
      </c>
      <c r="B66" s="24" t="str">
        <f>IF(ISNUMBER('Список деталей'!C74), 'Список деталей'!C74, "")</f>
        <v/>
      </c>
      <c r="C66" s="24" t="str">
        <f>IF(ISNUMBER('Список деталей'!D74), 'Список деталей'!D74, "")</f>
        <v/>
      </c>
      <c r="D66" s="24" t="str">
        <f>IF(ISNUMBER('Список деталей'!E74), 'Список деталей'!E74, "")</f>
        <v/>
      </c>
      <c r="E66" s="24"/>
      <c r="F66" s="25" t="str">
        <f>IF(ISBLANK('Список деталей'!F74),"",VLOOKUP('Список деталей'!F74,Справочник!$A$4:$D$11,4,0))</f>
        <v/>
      </c>
      <c r="G66" s="25" t="str">
        <f>IF(ISBLANK('Список деталей'!G74),"",VLOOKUP('Список деталей'!G74,Справочник!$A$4:$D$11,4,0))</f>
        <v/>
      </c>
      <c r="H66" s="25" t="str">
        <f>IF(ISBLANK('Список деталей'!H74),"",VLOOKUP('Список деталей'!H74,Справочник!$A$4:$D$11,4,0))</f>
        <v/>
      </c>
      <c r="I66" s="25" t="str">
        <f>IF(ISBLANK('Список деталей'!I74),"",VLOOKUP('Список деталей'!I74,Справочник!$A$4:$D$11,4,0))</f>
        <v/>
      </c>
      <c r="J66" s="24" t="str">
        <f>IF(ISBLANK('Список деталей'!K74),"",'Список деталей'!K74)</f>
        <v/>
      </c>
      <c r="K66" s="3" t="str">
        <f>IF(ISNUMBER('Список деталей'!C74), 'Список деталей'!$B$5,"")</f>
        <v/>
      </c>
      <c r="L66" s="3" t="str">
        <f>IF(ISNUMBER('Список деталей'!C74), 'Список деталей'!$I$4,"")</f>
        <v/>
      </c>
    </row>
    <row r="67" spans="1:12" x14ac:dyDescent="0.45">
      <c r="A67" s="3" t="str">
        <f>IF(ISBLANK('Список деталей'!C75),"",'Список деталей'!A75)</f>
        <v/>
      </c>
      <c r="B67" s="24" t="str">
        <f>IF(ISNUMBER('Список деталей'!C75), 'Список деталей'!C75, "")</f>
        <v/>
      </c>
      <c r="C67" s="24" t="str">
        <f>IF(ISNUMBER('Список деталей'!D75), 'Список деталей'!D75, "")</f>
        <v/>
      </c>
      <c r="D67" s="24" t="str">
        <f>IF(ISNUMBER('Список деталей'!E75), 'Список деталей'!E75, "")</f>
        <v/>
      </c>
      <c r="E67" s="24"/>
      <c r="F67" s="25" t="str">
        <f>IF(ISBLANK('Список деталей'!F75),"",VLOOKUP('Список деталей'!F75,Справочник!$A$4:$D$11,4,0))</f>
        <v/>
      </c>
      <c r="G67" s="25" t="str">
        <f>IF(ISBLANK('Список деталей'!G75),"",VLOOKUP('Список деталей'!G75,Справочник!$A$4:$D$11,4,0))</f>
        <v/>
      </c>
      <c r="H67" s="25" t="str">
        <f>IF(ISBLANK('Список деталей'!H75),"",VLOOKUP('Список деталей'!H75,Справочник!$A$4:$D$11,4,0))</f>
        <v/>
      </c>
      <c r="I67" s="25" t="str">
        <f>IF(ISBLANK('Список деталей'!I75),"",VLOOKUP('Список деталей'!I75,Справочник!$A$4:$D$11,4,0))</f>
        <v/>
      </c>
      <c r="J67" s="24" t="str">
        <f>IF(ISBLANK('Список деталей'!K75),"",'Список деталей'!K75)</f>
        <v/>
      </c>
      <c r="K67" s="3" t="str">
        <f>IF(ISNUMBER('Список деталей'!C75), 'Список деталей'!$B$5,"")</f>
        <v/>
      </c>
      <c r="L67" s="3" t="str">
        <f>IF(ISNUMBER('Список деталей'!C75), 'Список деталей'!$I$4,"")</f>
        <v/>
      </c>
    </row>
    <row r="68" spans="1:12" x14ac:dyDescent="0.45">
      <c r="A68" s="3" t="str">
        <f>IF(ISBLANK('Список деталей'!C76),"",'Список деталей'!A76)</f>
        <v/>
      </c>
      <c r="B68" s="24" t="str">
        <f>IF(ISNUMBER('Список деталей'!C76), 'Список деталей'!C76, "")</f>
        <v/>
      </c>
      <c r="C68" s="24" t="str">
        <f>IF(ISNUMBER('Список деталей'!D76), 'Список деталей'!D76, "")</f>
        <v/>
      </c>
      <c r="D68" s="24" t="str">
        <f>IF(ISNUMBER('Список деталей'!E76), 'Список деталей'!E76, "")</f>
        <v/>
      </c>
      <c r="E68" s="24"/>
      <c r="F68" s="25" t="str">
        <f>IF(ISBLANK('Список деталей'!F76),"",VLOOKUP('Список деталей'!F76,Справочник!$A$4:$D$11,4,0))</f>
        <v/>
      </c>
      <c r="G68" s="25" t="str">
        <f>IF(ISBLANK('Список деталей'!G76),"",VLOOKUP('Список деталей'!G76,Справочник!$A$4:$D$11,4,0))</f>
        <v/>
      </c>
      <c r="H68" s="25" t="str">
        <f>IF(ISBLANK('Список деталей'!H76),"",VLOOKUP('Список деталей'!H76,Справочник!$A$4:$D$11,4,0))</f>
        <v/>
      </c>
      <c r="I68" s="25" t="str">
        <f>IF(ISBLANK('Список деталей'!I76),"",VLOOKUP('Список деталей'!I76,Справочник!$A$4:$D$11,4,0))</f>
        <v/>
      </c>
      <c r="J68" s="24" t="str">
        <f>IF(ISBLANK('Список деталей'!K76),"",'Список деталей'!K76)</f>
        <v/>
      </c>
      <c r="K68" s="3" t="str">
        <f>IF(ISNUMBER('Список деталей'!C76), 'Список деталей'!$B$5,"")</f>
        <v/>
      </c>
      <c r="L68" s="3" t="str">
        <f>IF(ISNUMBER('Список деталей'!C76), 'Список деталей'!$I$4,"")</f>
        <v/>
      </c>
    </row>
    <row r="69" spans="1:12" x14ac:dyDescent="0.45">
      <c r="A69" s="3" t="str">
        <f>IF(ISBLANK('Список деталей'!C77),"",'Список деталей'!A77)</f>
        <v/>
      </c>
      <c r="B69" s="24" t="str">
        <f>IF(ISNUMBER('Список деталей'!C77), 'Список деталей'!C77, "")</f>
        <v/>
      </c>
      <c r="C69" s="24" t="str">
        <f>IF(ISNUMBER('Список деталей'!D77), 'Список деталей'!D77, "")</f>
        <v/>
      </c>
      <c r="D69" s="24" t="str">
        <f>IF(ISNUMBER('Список деталей'!E77), 'Список деталей'!E77, "")</f>
        <v/>
      </c>
      <c r="E69" s="24"/>
      <c r="F69" s="25" t="str">
        <f>IF(ISBLANK('Список деталей'!F77),"",VLOOKUP('Список деталей'!F77,Справочник!$A$4:$D$11,4,0))</f>
        <v/>
      </c>
      <c r="G69" s="25" t="str">
        <f>IF(ISBLANK('Список деталей'!G77),"",VLOOKUP('Список деталей'!G77,Справочник!$A$4:$D$11,4,0))</f>
        <v/>
      </c>
      <c r="H69" s="25" t="str">
        <f>IF(ISBLANK('Список деталей'!H77),"",VLOOKUP('Список деталей'!H77,Справочник!$A$4:$D$11,4,0))</f>
        <v/>
      </c>
      <c r="I69" s="25" t="str">
        <f>IF(ISBLANK('Список деталей'!I77),"",VLOOKUP('Список деталей'!I77,Справочник!$A$4:$D$11,4,0))</f>
        <v/>
      </c>
      <c r="J69" s="24" t="str">
        <f>IF(ISBLANK('Список деталей'!K77),"",'Список деталей'!K77)</f>
        <v/>
      </c>
      <c r="K69" s="3" t="str">
        <f>IF(ISNUMBER('Список деталей'!C77), 'Список деталей'!$B$5,"")</f>
        <v/>
      </c>
      <c r="L69" s="3" t="str">
        <f>IF(ISNUMBER('Список деталей'!C77), 'Список деталей'!$I$4,"")</f>
        <v/>
      </c>
    </row>
    <row r="70" spans="1:12" x14ac:dyDescent="0.45">
      <c r="A70" s="3" t="str">
        <f>IF(ISBLANK('Список деталей'!C78),"",'Список деталей'!A78)</f>
        <v/>
      </c>
      <c r="B70" s="24" t="str">
        <f>IF(ISNUMBER('Список деталей'!C78), 'Список деталей'!C78, "")</f>
        <v/>
      </c>
      <c r="C70" s="24" t="str">
        <f>IF(ISNUMBER('Список деталей'!D78), 'Список деталей'!D78, "")</f>
        <v/>
      </c>
      <c r="D70" s="24" t="str">
        <f>IF(ISNUMBER('Список деталей'!E78), 'Список деталей'!E78, "")</f>
        <v/>
      </c>
      <c r="E70" s="24"/>
      <c r="F70" s="25" t="str">
        <f>IF(ISBLANK('Список деталей'!F78),"",VLOOKUP('Список деталей'!F78,Справочник!$A$4:$D$11,4,0))</f>
        <v/>
      </c>
      <c r="G70" s="25" t="str">
        <f>IF(ISBLANK('Список деталей'!G78),"",VLOOKUP('Список деталей'!G78,Справочник!$A$4:$D$11,4,0))</f>
        <v/>
      </c>
      <c r="H70" s="25" t="str">
        <f>IF(ISBLANK('Список деталей'!H78),"",VLOOKUP('Список деталей'!H78,Справочник!$A$4:$D$11,4,0))</f>
        <v/>
      </c>
      <c r="I70" s="25" t="str">
        <f>IF(ISBLANK('Список деталей'!I78),"",VLOOKUP('Список деталей'!I78,Справочник!$A$4:$D$11,4,0))</f>
        <v/>
      </c>
      <c r="J70" s="24" t="str">
        <f>IF(ISBLANK('Список деталей'!K78),"",'Список деталей'!K78)</f>
        <v/>
      </c>
      <c r="K70" s="3" t="str">
        <f>IF(ISNUMBER('Список деталей'!C78), 'Список деталей'!$B$5,"")</f>
        <v/>
      </c>
      <c r="L70" s="3" t="str">
        <f>IF(ISNUMBER('Список деталей'!C78), 'Список деталей'!$I$4,"")</f>
        <v/>
      </c>
    </row>
    <row r="71" spans="1:12" x14ac:dyDescent="0.45">
      <c r="A71" s="3" t="str">
        <f>IF(ISBLANK('Список деталей'!C79),"",'Список деталей'!A79)</f>
        <v/>
      </c>
      <c r="B71" s="24" t="str">
        <f>IF(ISNUMBER('Список деталей'!C79), 'Список деталей'!C79, "")</f>
        <v/>
      </c>
      <c r="C71" s="24" t="str">
        <f>IF(ISNUMBER('Список деталей'!D79), 'Список деталей'!D79, "")</f>
        <v/>
      </c>
      <c r="D71" s="24" t="str">
        <f>IF(ISNUMBER('Список деталей'!E79), 'Список деталей'!E79, "")</f>
        <v/>
      </c>
      <c r="E71" s="24"/>
      <c r="F71" s="25" t="str">
        <f>IF(ISBLANK('Список деталей'!F79),"",VLOOKUP('Список деталей'!F79,Справочник!$A$4:$D$11,4,0))</f>
        <v/>
      </c>
      <c r="G71" s="25" t="str">
        <f>IF(ISBLANK('Список деталей'!G79),"",VLOOKUP('Список деталей'!G79,Справочник!$A$4:$D$11,4,0))</f>
        <v/>
      </c>
      <c r="H71" s="25" t="str">
        <f>IF(ISBLANK('Список деталей'!H79),"",VLOOKUP('Список деталей'!H79,Справочник!$A$4:$D$11,4,0))</f>
        <v/>
      </c>
      <c r="I71" s="25" t="str">
        <f>IF(ISBLANK('Список деталей'!I79),"",VLOOKUP('Список деталей'!I79,Справочник!$A$4:$D$11,4,0))</f>
        <v/>
      </c>
      <c r="J71" s="24" t="str">
        <f>IF(ISBLANK('Список деталей'!K79),"",'Список деталей'!K79)</f>
        <v/>
      </c>
      <c r="K71" s="3" t="str">
        <f>IF(ISNUMBER('Список деталей'!C79), 'Список деталей'!$B$5,"")</f>
        <v/>
      </c>
      <c r="L71" s="3" t="str">
        <f>IF(ISNUMBER('Список деталей'!C79), 'Список деталей'!$I$4,"")</f>
        <v/>
      </c>
    </row>
    <row r="72" spans="1:12" x14ac:dyDescent="0.45">
      <c r="A72" s="3" t="str">
        <f>IF(ISBLANK('Список деталей'!C80),"",'Список деталей'!A80)</f>
        <v/>
      </c>
      <c r="B72" s="24" t="str">
        <f>IF(ISNUMBER('Список деталей'!C80), 'Список деталей'!C80, "")</f>
        <v/>
      </c>
      <c r="C72" s="24" t="str">
        <f>IF(ISNUMBER('Список деталей'!D80), 'Список деталей'!D80, "")</f>
        <v/>
      </c>
      <c r="D72" s="24" t="str">
        <f>IF(ISNUMBER('Список деталей'!E80), 'Список деталей'!E80, "")</f>
        <v/>
      </c>
      <c r="E72" s="24"/>
      <c r="F72" s="25" t="str">
        <f>IF(ISBLANK('Список деталей'!F80),"",VLOOKUP('Список деталей'!F80,Справочник!$A$4:$D$11,4,0))</f>
        <v/>
      </c>
      <c r="G72" s="25" t="str">
        <f>IF(ISBLANK('Список деталей'!G80),"",VLOOKUP('Список деталей'!G80,Справочник!$A$4:$D$11,4,0))</f>
        <v/>
      </c>
      <c r="H72" s="25" t="str">
        <f>IF(ISBLANK('Список деталей'!H80),"",VLOOKUP('Список деталей'!H80,Справочник!$A$4:$D$11,4,0))</f>
        <v/>
      </c>
      <c r="I72" s="25" t="str">
        <f>IF(ISBLANK('Список деталей'!I80),"",VLOOKUP('Список деталей'!I80,Справочник!$A$4:$D$11,4,0))</f>
        <v/>
      </c>
      <c r="J72" s="24" t="str">
        <f>IF(ISBLANK('Список деталей'!K80),"",'Список деталей'!K80)</f>
        <v/>
      </c>
      <c r="K72" s="3" t="str">
        <f>IF(ISNUMBER('Список деталей'!C80), 'Список деталей'!$B$5,"")</f>
        <v/>
      </c>
      <c r="L72" s="3" t="str">
        <f>IF(ISNUMBER('Список деталей'!C80), 'Список деталей'!$I$4,"")</f>
        <v/>
      </c>
    </row>
    <row r="73" spans="1:12" x14ac:dyDescent="0.45">
      <c r="A73" s="3" t="str">
        <f>IF(ISBLANK('Список деталей'!C81),"",'Список деталей'!A81)</f>
        <v/>
      </c>
      <c r="B73" s="24" t="str">
        <f>IF(ISNUMBER('Список деталей'!C81), 'Список деталей'!C81, "")</f>
        <v/>
      </c>
      <c r="C73" s="24" t="str">
        <f>IF(ISNUMBER('Список деталей'!D81), 'Список деталей'!D81, "")</f>
        <v/>
      </c>
      <c r="D73" s="24" t="str">
        <f>IF(ISNUMBER('Список деталей'!E81), 'Список деталей'!E81, "")</f>
        <v/>
      </c>
      <c r="E73" s="24"/>
      <c r="F73" s="25" t="str">
        <f>IF(ISBLANK('Список деталей'!F81),"",VLOOKUP('Список деталей'!F81,Справочник!$A$4:$D$11,4,0))</f>
        <v/>
      </c>
      <c r="G73" s="25" t="str">
        <f>IF(ISBLANK('Список деталей'!G81),"",VLOOKUP('Список деталей'!G81,Справочник!$A$4:$D$11,4,0))</f>
        <v/>
      </c>
      <c r="H73" s="25" t="str">
        <f>IF(ISBLANK('Список деталей'!H81),"",VLOOKUP('Список деталей'!H81,Справочник!$A$4:$D$11,4,0))</f>
        <v/>
      </c>
      <c r="I73" s="25" t="str">
        <f>IF(ISBLANK('Список деталей'!I81),"",VLOOKUP('Список деталей'!I81,Справочник!$A$4:$D$11,4,0))</f>
        <v/>
      </c>
      <c r="J73" s="24" t="str">
        <f>IF(ISBLANK('Список деталей'!K81),"",'Список деталей'!K81)</f>
        <v/>
      </c>
      <c r="K73" s="3" t="str">
        <f>IF(ISNUMBER('Список деталей'!C81), 'Список деталей'!$B$5,"")</f>
        <v/>
      </c>
      <c r="L73" s="3" t="str">
        <f>IF(ISNUMBER('Список деталей'!C81), 'Список деталей'!$I$4,"")</f>
        <v/>
      </c>
    </row>
    <row r="74" spans="1:12" x14ac:dyDescent="0.45">
      <c r="A74" s="3" t="str">
        <f>IF(ISBLANK('Список деталей'!C82),"",'Список деталей'!A82)</f>
        <v/>
      </c>
      <c r="B74" s="24" t="str">
        <f>IF(ISNUMBER('Список деталей'!C82), 'Список деталей'!C82, "")</f>
        <v/>
      </c>
      <c r="C74" s="24" t="str">
        <f>IF(ISNUMBER('Список деталей'!D82), 'Список деталей'!D82, "")</f>
        <v/>
      </c>
      <c r="D74" s="24" t="str">
        <f>IF(ISNUMBER('Список деталей'!E82), 'Список деталей'!E82, "")</f>
        <v/>
      </c>
      <c r="E74" s="24"/>
      <c r="F74" s="25" t="str">
        <f>IF(ISBLANK('Список деталей'!F82),"",VLOOKUP('Список деталей'!F82,Справочник!$A$4:$D$11,4,0))</f>
        <v/>
      </c>
      <c r="G74" s="25" t="str">
        <f>IF(ISBLANK('Список деталей'!G82),"",VLOOKUP('Список деталей'!G82,Справочник!$A$4:$D$11,4,0))</f>
        <v/>
      </c>
      <c r="H74" s="25" t="str">
        <f>IF(ISBLANK('Список деталей'!H82),"",VLOOKUP('Список деталей'!H82,Справочник!$A$4:$D$11,4,0))</f>
        <v/>
      </c>
      <c r="I74" s="25" t="str">
        <f>IF(ISBLANK('Список деталей'!I82),"",VLOOKUP('Список деталей'!I82,Справочник!$A$4:$D$11,4,0))</f>
        <v/>
      </c>
      <c r="J74" s="24" t="str">
        <f>IF(ISBLANK('Список деталей'!K82),"",'Список деталей'!K82)</f>
        <v/>
      </c>
      <c r="K74" s="3" t="str">
        <f>IF(ISNUMBER('Список деталей'!C82), 'Список деталей'!$B$5,"")</f>
        <v/>
      </c>
      <c r="L74" s="3" t="str">
        <f>IF(ISNUMBER('Список деталей'!C82), 'Список деталей'!$I$4,"")</f>
        <v/>
      </c>
    </row>
    <row r="75" spans="1:12" x14ac:dyDescent="0.45">
      <c r="A75" s="3" t="str">
        <f>IF(ISBLANK('Список деталей'!C83),"",'Список деталей'!A83)</f>
        <v/>
      </c>
      <c r="B75" s="24" t="str">
        <f>IF(ISNUMBER('Список деталей'!C83), 'Список деталей'!C83, "")</f>
        <v/>
      </c>
      <c r="C75" s="24" t="str">
        <f>IF(ISNUMBER('Список деталей'!D83), 'Список деталей'!D83, "")</f>
        <v/>
      </c>
      <c r="D75" s="24" t="str">
        <f>IF(ISNUMBER('Список деталей'!E83), 'Список деталей'!E83, "")</f>
        <v/>
      </c>
      <c r="E75" s="24"/>
      <c r="F75" s="25" t="str">
        <f>IF(ISBLANK('Список деталей'!F83),"",VLOOKUP('Список деталей'!F83,Справочник!$A$4:$D$11,4,0))</f>
        <v/>
      </c>
      <c r="G75" s="25" t="str">
        <f>IF(ISBLANK('Список деталей'!G83),"",VLOOKUP('Список деталей'!G83,Справочник!$A$4:$D$11,4,0))</f>
        <v/>
      </c>
      <c r="H75" s="25" t="str">
        <f>IF(ISBLANK('Список деталей'!H83),"",VLOOKUP('Список деталей'!H83,Справочник!$A$4:$D$11,4,0))</f>
        <v/>
      </c>
      <c r="I75" s="25" t="str">
        <f>IF(ISBLANK('Список деталей'!I83),"",VLOOKUP('Список деталей'!I83,Справочник!$A$4:$D$11,4,0))</f>
        <v/>
      </c>
      <c r="J75" s="24" t="str">
        <f>IF(ISBLANK('Список деталей'!K83),"",'Список деталей'!K83)</f>
        <v/>
      </c>
      <c r="K75" s="3" t="str">
        <f>IF(ISNUMBER('Список деталей'!C83), 'Список деталей'!$B$5,"")</f>
        <v/>
      </c>
      <c r="L75" s="3" t="str">
        <f>IF(ISNUMBER('Список деталей'!C83), 'Список деталей'!$I$4,"")</f>
        <v/>
      </c>
    </row>
    <row r="76" spans="1:12" x14ac:dyDescent="0.45">
      <c r="A76" s="3" t="str">
        <f>IF(ISBLANK('Список деталей'!C84),"",'Список деталей'!A84)</f>
        <v/>
      </c>
      <c r="B76" s="24" t="str">
        <f>IF(ISNUMBER('Список деталей'!C84), 'Список деталей'!C84, "")</f>
        <v/>
      </c>
      <c r="C76" s="24" t="str">
        <f>IF(ISNUMBER('Список деталей'!D84), 'Список деталей'!D84, "")</f>
        <v/>
      </c>
      <c r="D76" s="24" t="str">
        <f>IF(ISNUMBER('Список деталей'!E84), 'Список деталей'!E84, "")</f>
        <v/>
      </c>
      <c r="E76" s="24"/>
      <c r="F76" s="25" t="str">
        <f>IF(ISBLANK('Список деталей'!F84),"",VLOOKUP('Список деталей'!F84,Справочник!$A$4:$D$11,4,0))</f>
        <v/>
      </c>
      <c r="G76" s="25" t="str">
        <f>IF(ISBLANK('Список деталей'!G84),"",VLOOKUP('Список деталей'!G84,Справочник!$A$4:$D$11,4,0))</f>
        <v/>
      </c>
      <c r="H76" s="25" t="str">
        <f>IF(ISBLANK('Список деталей'!H84),"",VLOOKUP('Список деталей'!H84,Справочник!$A$4:$D$11,4,0))</f>
        <v/>
      </c>
      <c r="I76" s="25" t="str">
        <f>IF(ISBLANK('Список деталей'!I84),"",VLOOKUP('Список деталей'!I84,Справочник!$A$4:$D$11,4,0))</f>
        <v/>
      </c>
      <c r="J76" s="24" t="str">
        <f>IF(ISBLANK('Список деталей'!K84),"",'Список деталей'!K84)</f>
        <v/>
      </c>
      <c r="K76" s="3" t="str">
        <f>IF(ISNUMBER('Список деталей'!C84), 'Список деталей'!$B$5,"")</f>
        <v/>
      </c>
      <c r="L76" s="3" t="str">
        <f>IF(ISNUMBER('Список деталей'!C84), 'Список деталей'!$I$4,"")</f>
        <v/>
      </c>
    </row>
    <row r="77" spans="1:12" x14ac:dyDescent="0.45">
      <c r="A77" s="3" t="str">
        <f>IF(ISBLANK('Список деталей'!C85),"",'Список деталей'!A85)</f>
        <v/>
      </c>
      <c r="B77" s="24" t="str">
        <f>IF(ISNUMBER('Список деталей'!C85), 'Список деталей'!C85, "")</f>
        <v/>
      </c>
      <c r="C77" s="24" t="str">
        <f>IF(ISNUMBER('Список деталей'!D85), 'Список деталей'!D85, "")</f>
        <v/>
      </c>
      <c r="D77" s="24" t="str">
        <f>IF(ISNUMBER('Список деталей'!E85), 'Список деталей'!E85, "")</f>
        <v/>
      </c>
      <c r="E77" s="24"/>
      <c r="F77" s="25" t="str">
        <f>IF(ISBLANK('Список деталей'!F85),"",VLOOKUP('Список деталей'!F85,Справочник!$A$4:$D$11,4,0))</f>
        <v/>
      </c>
      <c r="G77" s="25" t="str">
        <f>IF(ISBLANK('Список деталей'!G85),"",VLOOKUP('Список деталей'!G85,Справочник!$A$4:$D$11,4,0))</f>
        <v/>
      </c>
      <c r="H77" s="25" t="str">
        <f>IF(ISBLANK('Список деталей'!H85),"",VLOOKUP('Список деталей'!H85,Справочник!$A$4:$D$11,4,0))</f>
        <v/>
      </c>
      <c r="I77" s="25" t="str">
        <f>IF(ISBLANK('Список деталей'!I85),"",VLOOKUP('Список деталей'!I85,Справочник!$A$4:$D$11,4,0))</f>
        <v/>
      </c>
      <c r="J77" s="24" t="str">
        <f>IF(ISBLANK('Список деталей'!K85),"",'Список деталей'!K85)</f>
        <v/>
      </c>
      <c r="K77" s="3" t="str">
        <f>IF(ISNUMBER('Список деталей'!C85), 'Список деталей'!$B$5,"")</f>
        <v/>
      </c>
      <c r="L77" s="3" t="str">
        <f>IF(ISNUMBER('Список деталей'!C85), 'Список деталей'!$I$4,"")</f>
        <v/>
      </c>
    </row>
    <row r="78" spans="1:12" x14ac:dyDescent="0.45">
      <c r="A78" s="3" t="str">
        <f>IF(ISBLANK('Список деталей'!C86),"",'Список деталей'!A86)</f>
        <v/>
      </c>
      <c r="B78" s="24" t="str">
        <f>IF(ISNUMBER('Список деталей'!C86), 'Список деталей'!C86, "")</f>
        <v/>
      </c>
      <c r="C78" s="24" t="str">
        <f>IF(ISNUMBER('Список деталей'!D86), 'Список деталей'!D86, "")</f>
        <v/>
      </c>
      <c r="D78" s="24" t="str">
        <f>IF(ISNUMBER('Список деталей'!E86), 'Список деталей'!E86, "")</f>
        <v/>
      </c>
      <c r="E78" s="24"/>
      <c r="F78" s="25" t="str">
        <f>IF(ISBLANK('Список деталей'!F86),"",VLOOKUP('Список деталей'!F86,Справочник!$A$4:$D$11,4,0))</f>
        <v/>
      </c>
      <c r="G78" s="25" t="str">
        <f>IF(ISBLANK('Список деталей'!G86),"",VLOOKUP('Список деталей'!G86,Справочник!$A$4:$D$11,4,0))</f>
        <v/>
      </c>
      <c r="H78" s="25" t="str">
        <f>IF(ISBLANK('Список деталей'!H86),"",VLOOKUP('Список деталей'!H86,Справочник!$A$4:$D$11,4,0))</f>
        <v/>
      </c>
      <c r="I78" s="25" t="str">
        <f>IF(ISBLANK('Список деталей'!I86),"",VLOOKUP('Список деталей'!I86,Справочник!$A$4:$D$11,4,0))</f>
        <v/>
      </c>
      <c r="J78" s="24" t="str">
        <f>IF(ISBLANK('Список деталей'!K86),"",'Список деталей'!K86)</f>
        <v/>
      </c>
      <c r="K78" s="3" t="str">
        <f>IF(ISNUMBER('Список деталей'!C86), 'Список деталей'!$B$5,"")</f>
        <v/>
      </c>
      <c r="L78" s="3" t="str">
        <f>IF(ISNUMBER('Список деталей'!C86), 'Список деталей'!$I$4,"")</f>
        <v/>
      </c>
    </row>
    <row r="79" spans="1:12" x14ac:dyDescent="0.45">
      <c r="A79" s="3" t="str">
        <f>IF(ISBLANK('Список деталей'!C87),"",'Список деталей'!A87)</f>
        <v/>
      </c>
      <c r="B79" s="24" t="str">
        <f>IF(ISNUMBER('Список деталей'!C87), 'Список деталей'!C87, "")</f>
        <v/>
      </c>
      <c r="C79" s="24" t="str">
        <f>IF(ISNUMBER('Список деталей'!D87), 'Список деталей'!D87, "")</f>
        <v/>
      </c>
      <c r="D79" s="24" t="str">
        <f>IF(ISNUMBER('Список деталей'!E87), 'Список деталей'!E87, "")</f>
        <v/>
      </c>
      <c r="E79" s="24"/>
      <c r="F79" s="25" t="str">
        <f>IF(ISBLANK('Список деталей'!F87),"",VLOOKUP('Список деталей'!F87,Справочник!$A$4:$D$11,4,0))</f>
        <v/>
      </c>
      <c r="G79" s="25" t="str">
        <f>IF(ISBLANK('Список деталей'!G87),"",VLOOKUP('Список деталей'!G87,Справочник!$A$4:$D$11,4,0))</f>
        <v/>
      </c>
      <c r="H79" s="25" t="str">
        <f>IF(ISBLANK('Список деталей'!H87),"",VLOOKUP('Список деталей'!H87,Справочник!$A$4:$D$11,4,0))</f>
        <v/>
      </c>
      <c r="I79" s="25" t="str">
        <f>IF(ISBLANK('Список деталей'!I87),"",VLOOKUP('Список деталей'!I87,Справочник!$A$4:$D$11,4,0))</f>
        <v/>
      </c>
      <c r="J79" s="24" t="str">
        <f>IF(ISBLANK('Список деталей'!K87),"",'Список деталей'!K87)</f>
        <v/>
      </c>
      <c r="K79" s="3" t="str">
        <f>IF(ISNUMBER('Список деталей'!C87), 'Список деталей'!$B$5,"")</f>
        <v/>
      </c>
      <c r="L79" s="3" t="str">
        <f>IF(ISNUMBER('Список деталей'!C87), 'Список деталей'!$I$4,"")</f>
        <v/>
      </c>
    </row>
    <row r="80" spans="1:12" x14ac:dyDescent="0.45">
      <c r="A80" s="3" t="str">
        <f>IF(ISBLANK('Список деталей'!C88),"",'Список деталей'!A88)</f>
        <v/>
      </c>
      <c r="B80" s="24" t="str">
        <f>IF(ISNUMBER('Список деталей'!C88), 'Список деталей'!C88, "")</f>
        <v/>
      </c>
      <c r="C80" s="24" t="str">
        <f>IF(ISNUMBER('Список деталей'!D88), 'Список деталей'!D88, "")</f>
        <v/>
      </c>
      <c r="D80" s="24" t="str">
        <f>IF(ISNUMBER('Список деталей'!E88), 'Список деталей'!E88, "")</f>
        <v/>
      </c>
      <c r="E80" s="24"/>
      <c r="F80" s="25" t="str">
        <f>IF(ISBLANK('Список деталей'!F88),"",VLOOKUP('Список деталей'!F88,Справочник!$A$4:$D$11,4,0))</f>
        <v/>
      </c>
      <c r="G80" s="25" t="str">
        <f>IF(ISBLANK('Список деталей'!G88),"",VLOOKUP('Список деталей'!G88,Справочник!$A$4:$D$11,4,0))</f>
        <v/>
      </c>
      <c r="H80" s="25" t="str">
        <f>IF(ISBLANK('Список деталей'!H88),"",VLOOKUP('Список деталей'!H88,Справочник!$A$4:$D$11,4,0))</f>
        <v/>
      </c>
      <c r="I80" s="25" t="str">
        <f>IF(ISBLANK('Список деталей'!I88),"",VLOOKUP('Список деталей'!I88,Справочник!$A$4:$D$11,4,0))</f>
        <v/>
      </c>
      <c r="J80" s="24" t="str">
        <f>IF(ISBLANK('Список деталей'!K88),"",'Список деталей'!K88)</f>
        <v/>
      </c>
      <c r="K80" s="3" t="str">
        <f>IF(ISNUMBER('Список деталей'!C88), 'Список деталей'!$B$5,"")</f>
        <v/>
      </c>
      <c r="L80" s="3" t="str">
        <f>IF(ISNUMBER('Список деталей'!C88), 'Список деталей'!$I$4,"")</f>
        <v/>
      </c>
    </row>
    <row r="81" spans="1:12" x14ac:dyDescent="0.45">
      <c r="A81" s="3" t="str">
        <f>IF(ISBLANK('Список деталей'!C89),"",'Список деталей'!A89)</f>
        <v/>
      </c>
      <c r="B81" s="24" t="str">
        <f>IF(ISNUMBER('Список деталей'!C89), 'Список деталей'!C89, "")</f>
        <v/>
      </c>
      <c r="C81" s="24" t="str">
        <f>IF(ISNUMBER('Список деталей'!D89), 'Список деталей'!D89, "")</f>
        <v/>
      </c>
      <c r="D81" s="24" t="str">
        <f>IF(ISNUMBER('Список деталей'!E89), 'Список деталей'!E89, "")</f>
        <v/>
      </c>
      <c r="E81" s="24"/>
      <c r="F81" s="25" t="str">
        <f>IF(ISBLANK('Список деталей'!F89),"",VLOOKUP('Список деталей'!F89,Справочник!$A$4:$D$11,4,0))</f>
        <v/>
      </c>
      <c r="G81" s="25" t="str">
        <f>IF(ISBLANK('Список деталей'!G89),"",VLOOKUP('Список деталей'!G89,Справочник!$A$4:$D$11,4,0))</f>
        <v/>
      </c>
      <c r="H81" s="25" t="str">
        <f>IF(ISBLANK('Список деталей'!H89),"",VLOOKUP('Список деталей'!H89,Справочник!$A$4:$D$11,4,0))</f>
        <v/>
      </c>
      <c r="I81" s="25" t="str">
        <f>IF(ISBLANK('Список деталей'!I89),"",VLOOKUP('Список деталей'!I89,Справочник!$A$4:$D$11,4,0))</f>
        <v/>
      </c>
      <c r="J81" s="24" t="str">
        <f>IF(ISBLANK('Список деталей'!K89),"",'Список деталей'!K89)</f>
        <v/>
      </c>
      <c r="K81" s="3" t="str">
        <f>IF(ISNUMBER('Список деталей'!C89), 'Список деталей'!$B$5,"")</f>
        <v/>
      </c>
      <c r="L81" s="3" t="str">
        <f>IF(ISNUMBER('Список деталей'!C89), 'Список деталей'!$I$4,"")</f>
        <v/>
      </c>
    </row>
    <row r="82" spans="1:12" x14ac:dyDescent="0.45">
      <c r="A82" s="3" t="str">
        <f>IF(ISBLANK('Список деталей'!C90),"",'Список деталей'!A90)</f>
        <v/>
      </c>
      <c r="B82" s="24" t="str">
        <f>IF(ISNUMBER('Список деталей'!C90), 'Список деталей'!C90, "")</f>
        <v/>
      </c>
      <c r="C82" s="24" t="str">
        <f>IF(ISNUMBER('Список деталей'!D90), 'Список деталей'!D90, "")</f>
        <v/>
      </c>
      <c r="D82" s="24" t="str">
        <f>IF(ISNUMBER('Список деталей'!E90), 'Список деталей'!E90, "")</f>
        <v/>
      </c>
      <c r="E82" s="24"/>
      <c r="F82" s="25" t="str">
        <f>IF(ISBLANK('Список деталей'!F90),"",VLOOKUP('Список деталей'!F90,Справочник!$A$4:$D$11,4,0))</f>
        <v/>
      </c>
      <c r="G82" s="25" t="str">
        <f>IF(ISBLANK('Список деталей'!G90),"",VLOOKUP('Список деталей'!G90,Справочник!$A$4:$D$11,4,0))</f>
        <v/>
      </c>
      <c r="H82" s="25" t="str">
        <f>IF(ISBLANK('Список деталей'!H90),"",VLOOKUP('Список деталей'!H90,Справочник!$A$4:$D$11,4,0))</f>
        <v/>
      </c>
      <c r="I82" s="25" t="str">
        <f>IF(ISBLANK('Список деталей'!I90),"",VLOOKUP('Список деталей'!I90,Справочник!$A$4:$D$11,4,0))</f>
        <v/>
      </c>
      <c r="J82" s="24" t="str">
        <f>IF(ISBLANK('Список деталей'!K90),"",'Список деталей'!K90)</f>
        <v/>
      </c>
      <c r="K82" s="3" t="str">
        <f>IF(ISNUMBER('Список деталей'!C90), 'Список деталей'!$B$5,"")</f>
        <v/>
      </c>
      <c r="L82" s="3" t="str">
        <f>IF(ISNUMBER('Список деталей'!C90), 'Список деталей'!$I$4,"")</f>
        <v/>
      </c>
    </row>
    <row r="83" spans="1:12" x14ac:dyDescent="0.45">
      <c r="A83" s="3" t="str">
        <f>IF(ISBLANK('Список деталей'!C91),"",'Список деталей'!A91)</f>
        <v/>
      </c>
      <c r="B83" s="24" t="str">
        <f>IF(ISNUMBER('Список деталей'!C91), 'Список деталей'!C91, "")</f>
        <v/>
      </c>
      <c r="C83" s="24" t="str">
        <f>IF(ISNUMBER('Список деталей'!D91), 'Список деталей'!D91, "")</f>
        <v/>
      </c>
      <c r="D83" s="24" t="str">
        <f>IF(ISNUMBER('Список деталей'!E91), 'Список деталей'!E91, "")</f>
        <v/>
      </c>
      <c r="E83" s="24"/>
      <c r="F83" s="25" t="str">
        <f>IF(ISBLANK('Список деталей'!F91),"",VLOOKUP('Список деталей'!F91,Справочник!$A$4:$D$11,4,0))</f>
        <v/>
      </c>
      <c r="G83" s="25" t="str">
        <f>IF(ISBLANK('Список деталей'!G91),"",VLOOKUP('Список деталей'!G91,Справочник!$A$4:$D$11,4,0))</f>
        <v/>
      </c>
      <c r="H83" s="25" t="str">
        <f>IF(ISBLANK('Список деталей'!H91),"",VLOOKUP('Список деталей'!H91,Справочник!$A$4:$D$11,4,0))</f>
        <v/>
      </c>
      <c r="I83" s="25" t="str">
        <f>IF(ISBLANK('Список деталей'!I91),"",VLOOKUP('Список деталей'!I91,Справочник!$A$4:$D$11,4,0))</f>
        <v/>
      </c>
      <c r="J83" s="24" t="str">
        <f>IF(ISBLANK('Список деталей'!K91),"",'Список деталей'!K91)</f>
        <v/>
      </c>
      <c r="K83" s="3" t="str">
        <f>IF(ISNUMBER('Список деталей'!C91), 'Список деталей'!$B$5,"")</f>
        <v/>
      </c>
      <c r="L83" s="3" t="str">
        <f>IF(ISNUMBER('Список деталей'!C91), 'Список деталей'!$I$4,"")</f>
        <v/>
      </c>
    </row>
    <row r="84" spans="1:12" x14ac:dyDescent="0.45">
      <c r="A84" s="3" t="str">
        <f>IF(ISBLANK('Список деталей'!C92),"",'Список деталей'!A92)</f>
        <v/>
      </c>
      <c r="B84" s="24" t="str">
        <f>IF(ISNUMBER('Список деталей'!C92), 'Список деталей'!C92, "")</f>
        <v/>
      </c>
      <c r="C84" s="24" t="str">
        <f>IF(ISNUMBER('Список деталей'!D92), 'Список деталей'!D92, "")</f>
        <v/>
      </c>
      <c r="D84" s="24" t="str">
        <f>IF(ISNUMBER('Список деталей'!E92), 'Список деталей'!E92, "")</f>
        <v/>
      </c>
      <c r="E84" s="24"/>
      <c r="F84" s="25" t="str">
        <f>IF(ISBLANK('Список деталей'!F92),"",VLOOKUP('Список деталей'!F92,Справочник!$A$4:$D$11,4,0))</f>
        <v/>
      </c>
      <c r="G84" s="25" t="str">
        <f>IF(ISBLANK('Список деталей'!G92),"",VLOOKUP('Список деталей'!G92,Справочник!$A$4:$D$11,4,0))</f>
        <v/>
      </c>
      <c r="H84" s="25" t="str">
        <f>IF(ISBLANK('Список деталей'!H92),"",VLOOKUP('Список деталей'!H92,Справочник!$A$4:$D$11,4,0))</f>
        <v/>
      </c>
      <c r="I84" s="25" t="str">
        <f>IF(ISBLANK('Список деталей'!I92),"",VLOOKUP('Список деталей'!I92,Справочник!$A$4:$D$11,4,0))</f>
        <v/>
      </c>
      <c r="J84" s="24" t="str">
        <f>IF(ISBLANK('Список деталей'!K92),"",'Список деталей'!K92)</f>
        <v/>
      </c>
      <c r="K84" s="3" t="str">
        <f>IF(ISNUMBER('Список деталей'!C92), 'Список деталей'!$B$5,"")</f>
        <v/>
      </c>
      <c r="L84" s="3" t="str">
        <f>IF(ISNUMBER('Список деталей'!C92), 'Список деталей'!$I$4,"")</f>
        <v/>
      </c>
    </row>
    <row r="85" spans="1:12" x14ac:dyDescent="0.45">
      <c r="A85" s="3" t="str">
        <f>IF(ISBLANK('Список деталей'!C93),"",'Список деталей'!A93)</f>
        <v/>
      </c>
      <c r="B85" s="24" t="str">
        <f>IF(ISNUMBER('Список деталей'!C93), 'Список деталей'!C93, "")</f>
        <v/>
      </c>
      <c r="C85" s="24" t="str">
        <f>IF(ISNUMBER('Список деталей'!D93), 'Список деталей'!D93, "")</f>
        <v/>
      </c>
      <c r="D85" s="24" t="str">
        <f>IF(ISNUMBER('Список деталей'!E93), 'Список деталей'!E93, "")</f>
        <v/>
      </c>
      <c r="E85" s="24"/>
      <c r="F85" s="25" t="str">
        <f>IF(ISBLANK('Список деталей'!F93),"",VLOOKUP('Список деталей'!F93,Справочник!$A$4:$D$11,4,0))</f>
        <v/>
      </c>
      <c r="G85" s="25" t="str">
        <f>IF(ISBLANK('Список деталей'!G93),"",VLOOKUP('Список деталей'!G93,Справочник!$A$4:$D$11,4,0))</f>
        <v/>
      </c>
      <c r="H85" s="25" t="str">
        <f>IF(ISBLANK('Список деталей'!H93),"",VLOOKUP('Список деталей'!H93,Справочник!$A$4:$D$11,4,0))</f>
        <v/>
      </c>
      <c r="I85" s="25" t="str">
        <f>IF(ISBLANK('Список деталей'!I93),"",VLOOKUP('Список деталей'!I93,Справочник!$A$4:$D$11,4,0))</f>
        <v/>
      </c>
      <c r="J85" s="24" t="str">
        <f>IF(ISBLANK('Список деталей'!K93),"",'Список деталей'!K93)</f>
        <v/>
      </c>
      <c r="K85" s="3" t="str">
        <f>IF(ISNUMBER('Список деталей'!C93), 'Список деталей'!$B$5,"")</f>
        <v/>
      </c>
      <c r="L85" s="3" t="str">
        <f>IF(ISNUMBER('Список деталей'!C93), 'Список деталей'!$I$4,"")</f>
        <v/>
      </c>
    </row>
    <row r="86" spans="1:12" x14ac:dyDescent="0.45">
      <c r="A86" s="3" t="str">
        <f>IF(ISBLANK('Список деталей'!C94),"",'Список деталей'!A94)</f>
        <v/>
      </c>
      <c r="B86" s="24" t="str">
        <f>IF(ISNUMBER('Список деталей'!C94), 'Список деталей'!C94, "")</f>
        <v/>
      </c>
      <c r="C86" s="24" t="str">
        <f>IF(ISNUMBER('Список деталей'!D94), 'Список деталей'!D94, "")</f>
        <v/>
      </c>
      <c r="D86" s="24" t="str">
        <f>IF(ISNUMBER('Список деталей'!E94), 'Список деталей'!E94, "")</f>
        <v/>
      </c>
      <c r="E86" s="24"/>
      <c r="F86" s="25" t="str">
        <f>IF(ISBLANK('Список деталей'!F94),"",VLOOKUP('Список деталей'!F94,Справочник!$A$4:$D$11,4,0))</f>
        <v/>
      </c>
      <c r="G86" s="25" t="str">
        <f>IF(ISBLANK('Список деталей'!G94),"",VLOOKUP('Список деталей'!G94,Справочник!$A$4:$D$11,4,0))</f>
        <v/>
      </c>
      <c r="H86" s="25" t="str">
        <f>IF(ISBLANK('Список деталей'!H94),"",VLOOKUP('Список деталей'!H94,Справочник!$A$4:$D$11,4,0))</f>
        <v/>
      </c>
      <c r="I86" s="25" t="str">
        <f>IF(ISBLANK('Список деталей'!I94),"",VLOOKUP('Список деталей'!I94,Справочник!$A$4:$D$11,4,0))</f>
        <v/>
      </c>
      <c r="J86" s="24" t="str">
        <f>IF(ISBLANK('Список деталей'!K94),"",'Список деталей'!K94)</f>
        <v/>
      </c>
      <c r="K86" s="3" t="str">
        <f>IF(ISNUMBER('Список деталей'!C94), 'Список деталей'!$B$5,"")</f>
        <v/>
      </c>
      <c r="L86" s="3" t="str">
        <f>IF(ISNUMBER('Список деталей'!C94), 'Список деталей'!$I$4,"")</f>
        <v/>
      </c>
    </row>
    <row r="87" spans="1:12" x14ac:dyDescent="0.45">
      <c r="A87" s="3" t="str">
        <f>IF(ISBLANK('Список деталей'!C95),"",'Список деталей'!A95)</f>
        <v/>
      </c>
      <c r="B87" s="24" t="str">
        <f>IF(ISNUMBER('Список деталей'!C95), 'Список деталей'!C95, "")</f>
        <v/>
      </c>
      <c r="C87" s="24" t="str">
        <f>IF(ISNUMBER('Список деталей'!D95), 'Список деталей'!D95, "")</f>
        <v/>
      </c>
      <c r="D87" s="24" t="str">
        <f>IF(ISNUMBER('Список деталей'!E95), 'Список деталей'!E95, "")</f>
        <v/>
      </c>
      <c r="E87" s="24"/>
      <c r="F87" s="25" t="str">
        <f>IF(ISBLANK('Список деталей'!F95),"",VLOOKUP('Список деталей'!F95,Справочник!$A$4:$D$11,4,0))</f>
        <v/>
      </c>
      <c r="G87" s="25" t="str">
        <f>IF(ISBLANK('Список деталей'!G95),"",VLOOKUP('Список деталей'!G95,Справочник!$A$4:$D$11,4,0))</f>
        <v/>
      </c>
      <c r="H87" s="25" t="str">
        <f>IF(ISBLANK('Список деталей'!H95),"",VLOOKUP('Список деталей'!H95,Справочник!$A$4:$D$11,4,0))</f>
        <v/>
      </c>
      <c r="I87" s="25" t="str">
        <f>IF(ISBLANK('Список деталей'!I95),"",VLOOKUP('Список деталей'!I95,Справочник!$A$4:$D$11,4,0))</f>
        <v/>
      </c>
      <c r="J87" s="24" t="str">
        <f>IF(ISBLANK('Список деталей'!K95),"",'Список деталей'!K95)</f>
        <v/>
      </c>
      <c r="K87" s="3" t="str">
        <f>IF(ISNUMBER('Список деталей'!C95), 'Список деталей'!$B$5,"")</f>
        <v/>
      </c>
      <c r="L87" s="3" t="str">
        <f>IF(ISNUMBER('Список деталей'!C95), 'Список деталей'!$I$4,"")</f>
        <v/>
      </c>
    </row>
    <row r="88" spans="1:12" x14ac:dyDescent="0.45">
      <c r="A88" s="3" t="str">
        <f>IF(ISBLANK('Список деталей'!C96),"",'Список деталей'!A96)</f>
        <v/>
      </c>
      <c r="B88" s="24" t="str">
        <f>IF(ISNUMBER('Список деталей'!C96), 'Список деталей'!C96, "")</f>
        <v/>
      </c>
      <c r="C88" s="24" t="str">
        <f>IF(ISNUMBER('Список деталей'!D96), 'Список деталей'!D96, "")</f>
        <v/>
      </c>
      <c r="D88" s="24" t="str">
        <f>IF(ISNUMBER('Список деталей'!E96), 'Список деталей'!E96, "")</f>
        <v/>
      </c>
      <c r="E88" s="24"/>
      <c r="F88" s="25" t="str">
        <f>IF(ISBLANK('Список деталей'!F96),"",VLOOKUP('Список деталей'!F96,Справочник!$A$4:$D$11,4,0))</f>
        <v/>
      </c>
      <c r="G88" s="25" t="str">
        <f>IF(ISBLANK('Список деталей'!G96),"",VLOOKUP('Список деталей'!G96,Справочник!$A$4:$D$11,4,0))</f>
        <v/>
      </c>
      <c r="H88" s="25" t="str">
        <f>IF(ISBLANK('Список деталей'!H96),"",VLOOKUP('Список деталей'!H96,Справочник!$A$4:$D$11,4,0))</f>
        <v/>
      </c>
      <c r="I88" s="25" t="str">
        <f>IF(ISBLANK('Список деталей'!I96),"",VLOOKUP('Список деталей'!I96,Справочник!$A$4:$D$11,4,0))</f>
        <v/>
      </c>
      <c r="J88" s="24" t="str">
        <f>IF(ISBLANK('Список деталей'!K96),"",'Список деталей'!K96)</f>
        <v/>
      </c>
      <c r="K88" s="3" t="str">
        <f>IF(ISNUMBER('Список деталей'!C96), 'Список деталей'!$B$5,"")</f>
        <v/>
      </c>
      <c r="L88" s="3" t="str">
        <f>IF(ISNUMBER('Список деталей'!C96), 'Список деталей'!$I$4,"")</f>
        <v/>
      </c>
    </row>
    <row r="89" spans="1:12" x14ac:dyDescent="0.45">
      <c r="A89" s="3" t="str">
        <f>IF(ISBLANK('Список деталей'!C97),"",'Список деталей'!A97)</f>
        <v/>
      </c>
      <c r="B89" s="24" t="str">
        <f>IF(ISNUMBER('Список деталей'!C97), 'Список деталей'!C97, "")</f>
        <v/>
      </c>
      <c r="C89" s="24" t="str">
        <f>IF(ISNUMBER('Список деталей'!D97), 'Список деталей'!D97, "")</f>
        <v/>
      </c>
      <c r="D89" s="24" t="str">
        <f>IF(ISNUMBER('Список деталей'!E97), 'Список деталей'!E97, "")</f>
        <v/>
      </c>
      <c r="E89" s="24"/>
      <c r="F89" s="25" t="str">
        <f>IF(ISBLANK('Список деталей'!F97),"",VLOOKUP('Список деталей'!F97,Справочник!$A$4:$D$11,4,0))</f>
        <v/>
      </c>
      <c r="G89" s="25" t="str">
        <f>IF(ISBLANK('Список деталей'!G97),"",VLOOKUP('Список деталей'!G97,Справочник!$A$4:$D$11,4,0))</f>
        <v/>
      </c>
      <c r="H89" s="25" t="str">
        <f>IF(ISBLANK('Список деталей'!H97),"",VLOOKUP('Список деталей'!H97,Справочник!$A$4:$D$11,4,0))</f>
        <v/>
      </c>
      <c r="I89" s="25" t="str">
        <f>IF(ISBLANK('Список деталей'!I97),"",VLOOKUP('Список деталей'!I97,Справочник!$A$4:$D$11,4,0))</f>
        <v/>
      </c>
      <c r="J89" s="24" t="str">
        <f>IF(ISBLANK('Список деталей'!K97),"",'Список деталей'!K97)</f>
        <v/>
      </c>
      <c r="K89" s="3" t="str">
        <f>IF(ISNUMBER('Список деталей'!C97), 'Список деталей'!$B$5,"")</f>
        <v/>
      </c>
      <c r="L89" s="3" t="str">
        <f>IF(ISNUMBER('Список деталей'!C97), 'Список деталей'!$I$4,"")</f>
        <v/>
      </c>
    </row>
    <row r="90" spans="1:12" x14ac:dyDescent="0.45">
      <c r="A90" s="3" t="str">
        <f>IF(ISBLANK('Список деталей'!C98),"",'Список деталей'!A98)</f>
        <v/>
      </c>
      <c r="B90" s="24" t="str">
        <f>IF(ISNUMBER('Список деталей'!C98), 'Список деталей'!C98, "")</f>
        <v/>
      </c>
      <c r="C90" s="24" t="str">
        <f>IF(ISNUMBER('Список деталей'!D98), 'Список деталей'!D98, "")</f>
        <v/>
      </c>
      <c r="D90" s="24" t="str">
        <f>IF(ISNUMBER('Список деталей'!E98), 'Список деталей'!E98, "")</f>
        <v/>
      </c>
      <c r="E90" s="24"/>
      <c r="F90" s="25" t="str">
        <f>IF(ISBLANK('Список деталей'!F98),"",VLOOKUP('Список деталей'!F98,Справочник!$A$4:$D$11,4,0))</f>
        <v/>
      </c>
      <c r="G90" s="25" t="str">
        <f>IF(ISBLANK('Список деталей'!G98),"",VLOOKUP('Список деталей'!G98,Справочник!$A$4:$D$11,4,0))</f>
        <v/>
      </c>
      <c r="H90" s="25" t="str">
        <f>IF(ISBLANK('Список деталей'!H98),"",VLOOKUP('Список деталей'!H98,Справочник!$A$4:$D$11,4,0))</f>
        <v/>
      </c>
      <c r="I90" s="25" t="str">
        <f>IF(ISBLANK('Список деталей'!I98),"",VLOOKUP('Список деталей'!I98,Справочник!$A$4:$D$11,4,0))</f>
        <v/>
      </c>
      <c r="J90" s="24" t="str">
        <f>IF(ISBLANK('Список деталей'!K98),"",'Список деталей'!K98)</f>
        <v/>
      </c>
      <c r="K90" s="3" t="str">
        <f>IF(ISNUMBER('Список деталей'!C98), 'Список деталей'!$B$5,"")</f>
        <v/>
      </c>
      <c r="L90" s="3" t="str">
        <f>IF(ISNUMBER('Список деталей'!C98), 'Список деталей'!$I$4,"")</f>
        <v/>
      </c>
    </row>
    <row r="91" spans="1:12" x14ac:dyDescent="0.45">
      <c r="A91" s="3" t="str">
        <f>IF(ISBLANK('Список деталей'!C99),"",'Список деталей'!A99)</f>
        <v/>
      </c>
      <c r="B91" s="24" t="str">
        <f>IF(ISNUMBER('Список деталей'!C99), 'Список деталей'!C99, "")</f>
        <v/>
      </c>
      <c r="C91" s="24" t="str">
        <f>IF(ISNUMBER('Список деталей'!D99), 'Список деталей'!D99, "")</f>
        <v/>
      </c>
      <c r="D91" s="24" t="str">
        <f>IF(ISNUMBER('Список деталей'!E99), 'Список деталей'!E99, "")</f>
        <v/>
      </c>
      <c r="E91" s="24"/>
      <c r="F91" s="25" t="str">
        <f>IF(ISBLANK('Список деталей'!F99),"",VLOOKUP('Список деталей'!F99,Справочник!$A$4:$D$11,4,0))</f>
        <v/>
      </c>
      <c r="G91" s="25" t="str">
        <f>IF(ISBLANK('Список деталей'!G99),"",VLOOKUP('Список деталей'!G99,Справочник!$A$4:$D$11,4,0))</f>
        <v/>
      </c>
      <c r="H91" s="25" t="str">
        <f>IF(ISBLANK('Список деталей'!H99),"",VLOOKUP('Список деталей'!H99,Справочник!$A$4:$D$11,4,0))</f>
        <v/>
      </c>
      <c r="I91" s="25" t="str">
        <f>IF(ISBLANK('Список деталей'!I99),"",VLOOKUP('Список деталей'!I99,Справочник!$A$4:$D$11,4,0))</f>
        <v/>
      </c>
      <c r="J91" s="24" t="str">
        <f>IF(ISBLANK('Список деталей'!K99),"",'Список деталей'!K99)</f>
        <v/>
      </c>
      <c r="K91" s="3" t="str">
        <f>IF(ISNUMBER('Список деталей'!C99), 'Список деталей'!$B$5,"")</f>
        <v/>
      </c>
      <c r="L91" s="3" t="str">
        <f>IF(ISNUMBER('Список деталей'!C99), 'Список деталей'!$I$4,"")</f>
        <v/>
      </c>
    </row>
    <row r="92" spans="1:12" x14ac:dyDescent="0.45">
      <c r="A92" s="3" t="str">
        <f>IF(ISBLANK('Список деталей'!C100),"",'Список деталей'!A100)</f>
        <v/>
      </c>
      <c r="B92" s="24" t="str">
        <f>IF(ISNUMBER('Список деталей'!C100), 'Список деталей'!C100, "")</f>
        <v/>
      </c>
      <c r="C92" s="24" t="str">
        <f>IF(ISNUMBER('Список деталей'!D100), 'Список деталей'!D100, "")</f>
        <v/>
      </c>
      <c r="D92" s="24" t="str">
        <f>IF(ISNUMBER('Список деталей'!E100), 'Список деталей'!E100, "")</f>
        <v/>
      </c>
      <c r="E92" s="24"/>
      <c r="F92" s="25" t="str">
        <f>IF(ISBLANK('Список деталей'!F100),"",VLOOKUP('Список деталей'!F100,Справочник!$A$4:$D$11,4,0))</f>
        <v/>
      </c>
      <c r="G92" s="25" t="str">
        <f>IF(ISBLANK('Список деталей'!G100),"",VLOOKUP('Список деталей'!G100,Справочник!$A$4:$D$11,4,0))</f>
        <v/>
      </c>
      <c r="H92" s="25" t="str">
        <f>IF(ISBLANK('Список деталей'!H100),"",VLOOKUP('Список деталей'!H100,Справочник!$A$4:$D$11,4,0))</f>
        <v/>
      </c>
      <c r="I92" s="25" t="str">
        <f>IF(ISBLANK('Список деталей'!I100),"",VLOOKUP('Список деталей'!I100,Справочник!$A$4:$D$11,4,0))</f>
        <v/>
      </c>
      <c r="J92" s="24" t="str">
        <f>IF(ISBLANK('Список деталей'!K100),"",'Список деталей'!K100)</f>
        <v/>
      </c>
      <c r="K92" s="3" t="str">
        <f>IF(ISNUMBER('Список деталей'!C100), 'Список деталей'!$B$5,"")</f>
        <v/>
      </c>
      <c r="L92" s="3" t="str">
        <f>IF(ISNUMBER('Список деталей'!C100), 'Список деталей'!$I$4,"")</f>
        <v/>
      </c>
    </row>
    <row r="93" spans="1:12" x14ac:dyDescent="0.45">
      <c r="A93" s="3" t="str">
        <f>IF(ISBLANK('Список деталей'!C101),"",'Список деталей'!A101)</f>
        <v/>
      </c>
      <c r="B93" s="24" t="str">
        <f>IF(ISNUMBER('Список деталей'!C101), 'Список деталей'!C101, "")</f>
        <v/>
      </c>
      <c r="C93" s="24" t="str">
        <f>IF(ISNUMBER('Список деталей'!D101), 'Список деталей'!D101, "")</f>
        <v/>
      </c>
      <c r="D93" s="24" t="str">
        <f>IF(ISNUMBER('Список деталей'!E101), 'Список деталей'!E101, "")</f>
        <v/>
      </c>
      <c r="E93" s="24"/>
      <c r="F93" s="25" t="str">
        <f>IF(ISBLANK('Список деталей'!F101),"",VLOOKUP('Список деталей'!F101,Справочник!$A$4:$D$11,4,0))</f>
        <v/>
      </c>
      <c r="G93" s="25" t="str">
        <f>IF(ISBLANK('Список деталей'!G101),"",VLOOKUP('Список деталей'!G101,Справочник!$A$4:$D$11,4,0))</f>
        <v/>
      </c>
      <c r="H93" s="25" t="str">
        <f>IF(ISBLANK('Список деталей'!H101),"",VLOOKUP('Список деталей'!H101,Справочник!$A$4:$D$11,4,0))</f>
        <v/>
      </c>
      <c r="I93" s="25" t="str">
        <f>IF(ISBLANK('Список деталей'!I101),"",VLOOKUP('Список деталей'!I101,Справочник!$A$4:$D$11,4,0))</f>
        <v/>
      </c>
      <c r="J93" s="24" t="str">
        <f>IF(ISBLANK('Список деталей'!K101),"",'Список деталей'!K101)</f>
        <v/>
      </c>
      <c r="K93" s="3" t="str">
        <f>IF(ISNUMBER('Список деталей'!C101), 'Список деталей'!$B$5,"")</f>
        <v/>
      </c>
      <c r="L93" s="3" t="str">
        <f>IF(ISNUMBER('Список деталей'!C101), 'Список деталей'!$I$4,"")</f>
        <v/>
      </c>
    </row>
    <row r="94" spans="1:12" x14ac:dyDescent="0.45">
      <c r="A94" s="3" t="str">
        <f>IF(ISBLANK('Список деталей'!C102),"",'Список деталей'!A102)</f>
        <v/>
      </c>
      <c r="B94" s="24" t="str">
        <f>IF(ISNUMBER('Список деталей'!C102), 'Список деталей'!C102, "")</f>
        <v/>
      </c>
      <c r="C94" s="24" t="str">
        <f>IF(ISNUMBER('Список деталей'!D102), 'Список деталей'!D102, "")</f>
        <v/>
      </c>
      <c r="D94" s="24" t="str">
        <f>IF(ISNUMBER('Список деталей'!E102), 'Список деталей'!E102, "")</f>
        <v/>
      </c>
      <c r="E94" s="24"/>
      <c r="F94" s="25" t="str">
        <f>IF(ISBLANK('Список деталей'!F102),"",VLOOKUP('Список деталей'!F102,Справочник!$A$4:$D$11,4,0))</f>
        <v/>
      </c>
      <c r="G94" s="25" t="str">
        <f>IF(ISBLANK('Список деталей'!G102),"",VLOOKUP('Список деталей'!G102,Справочник!$A$4:$D$11,4,0))</f>
        <v/>
      </c>
      <c r="H94" s="25" t="str">
        <f>IF(ISBLANK('Список деталей'!H102),"",VLOOKUP('Список деталей'!H102,Справочник!$A$4:$D$11,4,0))</f>
        <v/>
      </c>
      <c r="I94" s="25" t="str">
        <f>IF(ISBLANK('Список деталей'!I102),"",VLOOKUP('Список деталей'!I102,Справочник!$A$4:$D$11,4,0))</f>
        <v/>
      </c>
      <c r="J94" s="24" t="str">
        <f>IF(ISBLANK('Список деталей'!K102),"",'Список деталей'!K102)</f>
        <v/>
      </c>
      <c r="K94" s="3" t="str">
        <f>IF(ISNUMBER('Список деталей'!C102), 'Список деталей'!$B$5,"")</f>
        <v/>
      </c>
      <c r="L94" s="3" t="str">
        <f>IF(ISNUMBER('Список деталей'!C102), 'Список деталей'!$I$4,"")</f>
        <v/>
      </c>
    </row>
    <row r="95" spans="1:12" x14ac:dyDescent="0.45">
      <c r="A95" s="3" t="str">
        <f>IF(ISBLANK('Список деталей'!C103),"",'Список деталей'!A103)</f>
        <v/>
      </c>
      <c r="B95" s="24" t="str">
        <f>IF(ISNUMBER('Список деталей'!C103), 'Список деталей'!C103, "")</f>
        <v/>
      </c>
      <c r="C95" s="24" t="str">
        <f>IF(ISNUMBER('Список деталей'!D103), 'Список деталей'!D103, "")</f>
        <v/>
      </c>
      <c r="D95" s="24" t="str">
        <f>IF(ISNUMBER('Список деталей'!E103), 'Список деталей'!E103, "")</f>
        <v/>
      </c>
      <c r="E95" s="24"/>
      <c r="F95" s="25" t="str">
        <f>IF(ISBLANK('Список деталей'!F103),"",VLOOKUP('Список деталей'!F103,Справочник!$A$4:$D$11,4,0))</f>
        <v/>
      </c>
      <c r="G95" s="25" t="str">
        <f>IF(ISBLANK('Список деталей'!G103),"",VLOOKUP('Список деталей'!G103,Справочник!$A$4:$D$11,4,0))</f>
        <v/>
      </c>
      <c r="H95" s="25" t="str">
        <f>IF(ISBLANK('Список деталей'!H103),"",VLOOKUP('Список деталей'!H103,Справочник!$A$4:$D$11,4,0))</f>
        <v/>
      </c>
      <c r="I95" s="25" t="str">
        <f>IF(ISBLANK('Список деталей'!I103),"",VLOOKUP('Список деталей'!I103,Справочник!$A$4:$D$11,4,0))</f>
        <v/>
      </c>
      <c r="J95" s="24" t="str">
        <f>IF(ISBLANK('Список деталей'!K103),"",'Список деталей'!K103)</f>
        <v/>
      </c>
      <c r="K95" s="3" t="str">
        <f>IF(ISNUMBER('Список деталей'!C103), 'Список деталей'!$B$5,"")</f>
        <v/>
      </c>
      <c r="L95" s="3" t="str">
        <f>IF(ISNUMBER('Список деталей'!C103), 'Список деталей'!$I$4,"")</f>
        <v/>
      </c>
    </row>
    <row r="96" spans="1:12" x14ac:dyDescent="0.45">
      <c r="A96" s="3" t="str">
        <f>IF(ISBLANK('Список деталей'!C104),"",'Список деталей'!A104)</f>
        <v/>
      </c>
      <c r="B96" s="24" t="str">
        <f>IF(ISNUMBER('Список деталей'!C104), 'Список деталей'!C104, "")</f>
        <v/>
      </c>
      <c r="C96" s="24" t="str">
        <f>IF(ISNUMBER('Список деталей'!D104), 'Список деталей'!D104, "")</f>
        <v/>
      </c>
      <c r="D96" s="24" t="str">
        <f>IF(ISNUMBER('Список деталей'!E104), 'Список деталей'!E104, "")</f>
        <v/>
      </c>
      <c r="E96" s="24"/>
      <c r="F96" s="25" t="str">
        <f>IF(ISBLANK('Список деталей'!F104),"",VLOOKUP('Список деталей'!F104,Справочник!$A$4:$D$11,4,0))</f>
        <v/>
      </c>
      <c r="G96" s="25" t="str">
        <f>IF(ISBLANK('Список деталей'!G104),"",VLOOKUP('Список деталей'!G104,Справочник!$A$4:$D$11,4,0))</f>
        <v/>
      </c>
      <c r="H96" s="25" t="str">
        <f>IF(ISBLANK('Список деталей'!H104),"",VLOOKUP('Список деталей'!H104,Справочник!$A$4:$D$11,4,0))</f>
        <v/>
      </c>
      <c r="I96" s="25" t="str">
        <f>IF(ISBLANK('Список деталей'!I104),"",VLOOKUP('Список деталей'!I104,Справочник!$A$4:$D$11,4,0))</f>
        <v/>
      </c>
      <c r="J96" s="24" t="str">
        <f>IF(ISBLANK('Список деталей'!K104),"",'Список деталей'!K104)</f>
        <v/>
      </c>
      <c r="K96" s="3" t="str">
        <f>IF(ISNUMBER('Список деталей'!C104), 'Список деталей'!$B$5,"")</f>
        <v/>
      </c>
      <c r="L96" s="3" t="str">
        <f>IF(ISNUMBER('Список деталей'!C104), 'Список деталей'!$I$4,"")</f>
        <v/>
      </c>
    </row>
    <row r="97" spans="1:12" x14ac:dyDescent="0.45">
      <c r="A97" s="3" t="str">
        <f>IF(ISBLANK('Список деталей'!C105),"",'Список деталей'!A105)</f>
        <v/>
      </c>
      <c r="B97" s="24" t="str">
        <f>IF(ISNUMBER('Список деталей'!C105), 'Список деталей'!C105, "")</f>
        <v/>
      </c>
      <c r="C97" s="24" t="str">
        <f>IF(ISNUMBER('Список деталей'!D105), 'Список деталей'!D105, "")</f>
        <v/>
      </c>
      <c r="D97" s="24" t="str">
        <f>IF(ISNUMBER('Список деталей'!E105), 'Список деталей'!E105, "")</f>
        <v/>
      </c>
      <c r="E97" s="24"/>
      <c r="F97" s="25" t="str">
        <f>IF(ISBLANK('Список деталей'!F105),"",VLOOKUP('Список деталей'!F105,Справочник!$A$4:$D$11,4,0))</f>
        <v/>
      </c>
      <c r="G97" s="25" t="str">
        <f>IF(ISBLANK('Список деталей'!G105),"",VLOOKUP('Список деталей'!G105,Справочник!$A$4:$D$11,4,0))</f>
        <v/>
      </c>
      <c r="H97" s="25" t="str">
        <f>IF(ISBLANK('Список деталей'!H105),"",VLOOKUP('Список деталей'!H105,Справочник!$A$4:$D$11,4,0))</f>
        <v/>
      </c>
      <c r="I97" s="25" t="str">
        <f>IF(ISBLANK('Список деталей'!I105),"",VLOOKUP('Список деталей'!I105,Справочник!$A$4:$D$11,4,0))</f>
        <v/>
      </c>
      <c r="J97" s="24" t="str">
        <f>IF(ISBLANK('Список деталей'!K105),"",'Список деталей'!K105)</f>
        <v/>
      </c>
      <c r="K97" s="3" t="str">
        <f>IF(ISNUMBER('Список деталей'!C105), 'Список деталей'!$B$5,"")</f>
        <v/>
      </c>
      <c r="L97" s="3" t="str">
        <f>IF(ISNUMBER('Список деталей'!C105), 'Список деталей'!$I$4,"")</f>
        <v/>
      </c>
    </row>
    <row r="98" spans="1:12" x14ac:dyDescent="0.45">
      <c r="A98" s="3" t="str">
        <f>IF(ISBLANK('Список деталей'!C106),"",'Список деталей'!A106)</f>
        <v/>
      </c>
      <c r="B98" s="24" t="str">
        <f>IF(ISNUMBER('Список деталей'!C106), 'Список деталей'!C106, "")</f>
        <v/>
      </c>
      <c r="C98" s="24" t="str">
        <f>IF(ISNUMBER('Список деталей'!D106), 'Список деталей'!D106, "")</f>
        <v/>
      </c>
      <c r="D98" s="24" t="str">
        <f>IF(ISNUMBER('Список деталей'!E106), 'Список деталей'!E106, "")</f>
        <v/>
      </c>
      <c r="E98" s="24"/>
      <c r="F98" s="25" t="str">
        <f>IF(ISBLANK('Список деталей'!F106),"",VLOOKUP('Список деталей'!F106,Справочник!$A$4:$D$11,4,0))</f>
        <v/>
      </c>
      <c r="G98" s="25" t="str">
        <f>IF(ISBLANK('Список деталей'!G106),"",VLOOKUP('Список деталей'!G106,Справочник!$A$4:$D$11,4,0))</f>
        <v/>
      </c>
      <c r="H98" s="25" t="str">
        <f>IF(ISBLANK('Список деталей'!H106),"",VLOOKUP('Список деталей'!H106,Справочник!$A$4:$D$11,4,0))</f>
        <v/>
      </c>
      <c r="I98" s="25" t="str">
        <f>IF(ISBLANK('Список деталей'!I106),"",VLOOKUP('Список деталей'!I106,Справочник!$A$4:$D$11,4,0))</f>
        <v/>
      </c>
      <c r="J98" s="24" t="str">
        <f>IF(ISBLANK('Список деталей'!K106),"",'Список деталей'!K106)</f>
        <v/>
      </c>
      <c r="K98" s="3" t="str">
        <f>IF(ISNUMBER('Список деталей'!C106), 'Список деталей'!$B$5,"")</f>
        <v/>
      </c>
      <c r="L98" s="3" t="str">
        <f>IF(ISNUMBER('Список деталей'!C106), 'Список деталей'!$I$4,"")</f>
        <v/>
      </c>
    </row>
    <row r="99" spans="1:12" x14ac:dyDescent="0.45">
      <c r="A99" s="3" t="str">
        <f>IF(ISBLANK('Список деталей'!C107),"",'Список деталей'!A107)</f>
        <v/>
      </c>
      <c r="B99" s="24" t="str">
        <f>IF(ISNUMBER('Список деталей'!C107), 'Список деталей'!C107, "")</f>
        <v/>
      </c>
      <c r="C99" s="24" t="str">
        <f>IF(ISNUMBER('Список деталей'!D107), 'Список деталей'!D107, "")</f>
        <v/>
      </c>
      <c r="D99" s="24" t="str">
        <f>IF(ISNUMBER('Список деталей'!E107), 'Список деталей'!E107, "")</f>
        <v/>
      </c>
      <c r="E99" s="24"/>
      <c r="F99" s="25" t="str">
        <f>IF(ISBLANK('Список деталей'!F107),"",VLOOKUP('Список деталей'!F107,Справочник!$A$4:$D$11,4,0))</f>
        <v/>
      </c>
      <c r="G99" s="25" t="str">
        <f>IF(ISBLANK('Список деталей'!G107),"",VLOOKUP('Список деталей'!G107,Справочник!$A$4:$D$11,4,0))</f>
        <v/>
      </c>
      <c r="H99" s="25" t="str">
        <f>IF(ISBLANK('Список деталей'!H107),"",VLOOKUP('Список деталей'!H107,Справочник!$A$4:$D$11,4,0))</f>
        <v/>
      </c>
      <c r="I99" s="25" t="str">
        <f>IF(ISBLANK('Список деталей'!I107),"",VLOOKUP('Список деталей'!I107,Справочник!$A$4:$D$11,4,0))</f>
        <v/>
      </c>
      <c r="J99" s="24" t="str">
        <f>IF(ISBLANK('Список деталей'!K107),"",'Список деталей'!K107)</f>
        <v/>
      </c>
      <c r="K99" s="3" t="str">
        <f>IF(ISNUMBER('Список деталей'!C107), 'Список деталей'!$B$5,"")</f>
        <v/>
      </c>
      <c r="L99" s="3" t="str">
        <f>IF(ISNUMBER('Список деталей'!C107), 'Список деталей'!$I$4,"")</f>
        <v/>
      </c>
    </row>
    <row r="100" spans="1:12" x14ac:dyDescent="0.45">
      <c r="A100" s="3" t="str">
        <f>IF(ISBLANK('Список деталей'!C108),"",'Список деталей'!A108)</f>
        <v/>
      </c>
      <c r="B100" s="24" t="str">
        <f>IF(ISNUMBER('Список деталей'!C108), 'Список деталей'!C108, "")</f>
        <v/>
      </c>
      <c r="C100" s="24" t="str">
        <f>IF(ISNUMBER('Список деталей'!D108), 'Список деталей'!D108, "")</f>
        <v/>
      </c>
      <c r="D100" s="24" t="str">
        <f>IF(ISNUMBER('Список деталей'!E108), 'Список деталей'!E108, "")</f>
        <v/>
      </c>
      <c r="E100" s="24"/>
      <c r="F100" s="25" t="str">
        <f>IF(ISBLANK('Список деталей'!F108),"",VLOOKUP('Список деталей'!F108,Справочник!$A$4:$D$11,4,0))</f>
        <v/>
      </c>
      <c r="G100" s="25" t="str">
        <f>IF(ISBLANK('Список деталей'!G108),"",VLOOKUP('Список деталей'!G108,Справочник!$A$4:$D$11,4,0))</f>
        <v/>
      </c>
      <c r="H100" s="25" t="str">
        <f>IF(ISBLANK('Список деталей'!H108),"",VLOOKUP('Список деталей'!H108,Справочник!$A$4:$D$11,4,0))</f>
        <v/>
      </c>
      <c r="I100" s="25" t="str">
        <f>IF(ISBLANK('Список деталей'!I108),"",VLOOKUP('Список деталей'!I108,Справочник!$A$4:$D$11,4,0))</f>
        <v/>
      </c>
      <c r="J100" s="24" t="str">
        <f>IF(ISBLANK('Список деталей'!K108),"",'Список деталей'!K108)</f>
        <v/>
      </c>
      <c r="K100" s="3" t="str">
        <f>IF(ISNUMBER('Список деталей'!C108), 'Список деталей'!$B$5,"")</f>
        <v/>
      </c>
      <c r="L100" s="3" t="str">
        <f>IF(ISNUMBER('Список деталей'!C108), 'Список деталей'!$I$4,"")</f>
        <v/>
      </c>
    </row>
    <row r="101" spans="1:12" x14ac:dyDescent="0.45">
      <c r="A101" s="3" t="str">
        <f>IF(ISBLANK('Список деталей'!C109),"",'Список деталей'!A109)</f>
        <v/>
      </c>
      <c r="B101" s="24" t="str">
        <f>IF(ISNUMBER('Список деталей'!C109), 'Список деталей'!C109, "")</f>
        <v/>
      </c>
      <c r="C101" s="24" t="str">
        <f>IF(ISNUMBER('Список деталей'!D109), 'Список деталей'!D109, "")</f>
        <v/>
      </c>
      <c r="D101" s="24" t="str">
        <f>IF(ISNUMBER('Список деталей'!E109), 'Список деталей'!E109, "")</f>
        <v/>
      </c>
      <c r="E101" s="24"/>
      <c r="F101" s="25" t="str">
        <f>IF(ISBLANK('Список деталей'!F109),"",VLOOKUP('Список деталей'!F109,Справочник!$A$4:$D$11,4,0))</f>
        <v/>
      </c>
      <c r="G101" s="25" t="str">
        <f>IF(ISBLANK('Список деталей'!G109),"",VLOOKUP('Список деталей'!G109,Справочник!$A$4:$D$11,4,0))</f>
        <v/>
      </c>
      <c r="H101" s="25" t="str">
        <f>IF(ISBLANK('Список деталей'!H109),"",VLOOKUP('Список деталей'!H109,Справочник!$A$4:$D$11,4,0))</f>
        <v/>
      </c>
      <c r="I101" s="25" t="str">
        <f>IF(ISBLANK('Список деталей'!I109),"",VLOOKUP('Список деталей'!I109,Справочник!$A$4:$D$11,4,0))</f>
        <v/>
      </c>
      <c r="J101" s="24" t="str">
        <f>IF(ISBLANK('Список деталей'!K109),"",'Список деталей'!K109)</f>
        <v/>
      </c>
      <c r="K101" s="3" t="str">
        <f>IF(ISNUMBER('Список деталей'!C109), 'Список деталей'!$B$5,"")</f>
        <v/>
      </c>
      <c r="L101" s="3" t="str">
        <f>IF(ISNUMBER('Список деталей'!C109), 'Список деталей'!$I$4,"")</f>
        <v/>
      </c>
    </row>
    <row r="102" spans="1:12" x14ac:dyDescent="0.45">
      <c r="A102" s="3" t="str">
        <f>IF(ISBLANK('Список деталей'!C110),"",'Список деталей'!A110)</f>
        <v/>
      </c>
      <c r="B102" s="24" t="str">
        <f>IF(ISNUMBER('Список деталей'!C110), 'Список деталей'!C110, "")</f>
        <v/>
      </c>
      <c r="C102" s="24" t="str">
        <f>IF(ISNUMBER('Список деталей'!D110), 'Список деталей'!D110, "")</f>
        <v/>
      </c>
      <c r="D102" s="24" t="str">
        <f>IF(ISNUMBER('Список деталей'!E110), 'Список деталей'!E110, "")</f>
        <v/>
      </c>
      <c r="E102" s="24"/>
      <c r="F102" s="25" t="str">
        <f>IF(ISBLANK('Список деталей'!F110),"",VLOOKUP('Список деталей'!F110,Справочник!$A$4:$D$11,4,0))</f>
        <v/>
      </c>
      <c r="G102" s="25" t="str">
        <f>IF(ISBLANK('Список деталей'!G110),"",VLOOKUP('Список деталей'!G110,Справочник!$A$4:$D$11,4,0))</f>
        <v/>
      </c>
      <c r="H102" s="25" t="str">
        <f>IF(ISBLANK('Список деталей'!H110),"",VLOOKUP('Список деталей'!H110,Справочник!$A$4:$D$11,4,0))</f>
        <v/>
      </c>
      <c r="I102" s="25" t="str">
        <f>IF(ISBLANK('Список деталей'!I110),"",VLOOKUP('Список деталей'!I110,Справочник!$A$4:$D$11,4,0))</f>
        <v/>
      </c>
      <c r="J102" s="24" t="str">
        <f>IF(ISBLANK('Список деталей'!K110),"",'Список деталей'!K110)</f>
        <v/>
      </c>
      <c r="K102" s="3" t="str">
        <f>IF(ISNUMBER('Список деталей'!C110), 'Список деталей'!$B$5,"")</f>
        <v/>
      </c>
      <c r="L102" s="3" t="str">
        <f>IF(ISNUMBER('Список деталей'!C110), 'Список деталей'!$I$4,"")</f>
        <v/>
      </c>
    </row>
    <row r="103" spans="1:12" x14ac:dyDescent="0.45">
      <c r="A103" s="3" t="str">
        <f>IF(ISBLANK('Список деталей'!C111),"",'Список деталей'!A111)</f>
        <v/>
      </c>
      <c r="B103" s="24" t="str">
        <f>IF(ISNUMBER('Список деталей'!C111), 'Список деталей'!C111, "")</f>
        <v/>
      </c>
      <c r="C103" s="24" t="str">
        <f>IF(ISNUMBER('Список деталей'!D111), 'Список деталей'!D111, "")</f>
        <v/>
      </c>
      <c r="D103" s="24" t="str">
        <f>IF(ISNUMBER('Список деталей'!E111), 'Список деталей'!E111, "")</f>
        <v/>
      </c>
      <c r="E103" s="24"/>
      <c r="F103" s="25" t="str">
        <f>IF(ISBLANK('Список деталей'!F111),"",VLOOKUP('Список деталей'!F111,Справочник!$A$4:$D$11,4,0))</f>
        <v/>
      </c>
      <c r="G103" s="25" t="str">
        <f>IF(ISBLANK('Список деталей'!G111),"",VLOOKUP('Список деталей'!G111,Справочник!$A$4:$D$11,4,0))</f>
        <v/>
      </c>
      <c r="H103" s="25" t="str">
        <f>IF(ISBLANK('Список деталей'!H111),"",VLOOKUP('Список деталей'!H111,Справочник!$A$4:$D$11,4,0))</f>
        <v/>
      </c>
      <c r="I103" s="25" t="str">
        <f>IF(ISBLANK('Список деталей'!I111),"",VLOOKUP('Список деталей'!I111,Справочник!$A$4:$D$11,4,0))</f>
        <v/>
      </c>
      <c r="J103" s="24" t="str">
        <f>IF(ISBLANK('Список деталей'!K111),"",'Список деталей'!K111)</f>
        <v/>
      </c>
      <c r="K103" s="3" t="str">
        <f>IF(ISNUMBER('Список деталей'!C111), 'Список деталей'!$B$5,"")</f>
        <v/>
      </c>
      <c r="L103" s="3" t="str">
        <f>IF(ISNUMBER('Список деталей'!C111), 'Список деталей'!$I$4,"")</f>
        <v/>
      </c>
    </row>
    <row r="104" spans="1:12" x14ac:dyDescent="0.45">
      <c r="A104" s="3" t="str">
        <f>IF(ISBLANK('Список деталей'!C112),"",'Список деталей'!A112)</f>
        <v/>
      </c>
      <c r="B104" s="24" t="str">
        <f>IF(ISNUMBER('Список деталей'!C112), 'Список деталей'!C112, "")</f>
        <v/>
      </c>
      <c r="C104" s="24" t="str">
        <f>IF(ISNUMBER('Список деталей'!D112), 'Список деталей'!D112, "")</f>
        <v/>
      </c>
      <c r="D104" s="24" t="str">
        <f>IF(ISNUMBER('Список деталей'!E112), 'Список деталей'!E112, "")</f>
        <v/>
      </c>
      <c r="E104" s="24"/>
      <c r="F104" s="25" t="str">
        <f>IF(ISBLANK('Список деталей'!F112),"",VLOOKUP('Список деталей'!F112,Справочник!$A$4:$D$11,4,0))</f>
        <v/>
      </c>
      <c r="G104" s="25" t="str">
        <f>IF(ISBLANK('Список деталей'!G112),"",VLOOKUP('Список деталей'!G112,Справочник!$A$4:$D$11,4,0))</f>
        <v/>
      </c>
      <c r="H104" s="25" t="str">
        <f>IF(ISBLANK('Список деталей'!H112),"",VLOOKUP('Список деталей'!H112,Справочник!$A$4:$D$11,4,0))</f>
        <v/>
      </c>
      <c r="I104" s="25" t="str">
        <f>IF(ISBLANK('Список деталей'!I112),"",VLOOKUP('Список деталей'!I112,Справочник!$A$4:$D$11,4,0))</f>
        <v/>
      </c>
      <c r="J104" s="24" t="str">
        <f>IF(ISBLANK('Список деталей'!K112),"",'Список деталей'!K112)</f>
        <v/>
      </c>
      <c r="K104" s="3" t="str">
        <f>IF(ISNUMBER('Список деталей'!C112), 'Список деталей'!$B$5,"")</f>
        <v/>
      </c>
      <c r="L104" s="3" t="str">
        <f>IF(ISNUMBER('Список деталей'!C112), 'Список деталей'!$I$4,"")</f>
        <v/>
      </c>
    </row>
    <row r="105" spans="1:12" x14ac:dyDescent="0.45">
      <c r="A105" s="3" t="str">
        <f>IF(ISBLANK('Список деталей'!C113),"",'Список деталей'!A113)</f>
        <v/>
      </c>
      <c r="B105" s="24" t="str">
        <f>IF(ISNUMBER('Список деталей'!C113), 'Список деталей'!C113, "")</f>
        <v/>
      </c>
      <c r="C105" s="24" t="str">
        <f>IF(ISNUMBER('Список деталей'!D113), 'Список деталей'!D113, "")</f>
        <v/>
      </c>
      <c r="D105" s="24" t="str">
        <f>IF(ISNUMBER('Список деталей'!E113), 'Список деталей'!E113, "")</f>
        <v/>
      </c>
      <c r="E105" s="24"/>
      <c r="F105" s="25" t="str">
        <f>IF(ISBLANK('Список деталей'!F113),"",VLOOKUP('Список деталей'!F113,Справочник!$A$4:$D$11,4,0))</f>
        <v/>
      </c>
      <c r="G105" s="25" t="str">
        <f>IF(ISBLANK('Список деталей'!G113),"",VLOOKUP('Список деталей'!G113,Справочник!$A$4:$D$11,4,0))</f>
        <v/>
      </c>
      <c r="H105" s="25" t="str">
        <f>IF(ISBLANK('Список деталей'!H113),"",VLOOKUP('Список деталей'!H113,Справочник!$A$4:$D$11,4,0))</f>
        <v/>
      </c>
      <c r="I105" s="25" t="str">
        <f>IF(ISBLANK('Список деталей'!I113),"",VLOOKUP('Список деталей'!I113,Справочник!$A$4:$D$11,4,0))</f>
        <v/>
      </c>
      <c r="J105" s="24" t="str">
        <f>IF(ISBLANK('Список деталей'!K113),"",'Список деталей'!K113)</f>
        <v/>
      </c>
      <c r="K105" s="3" t="str">
        <f>IF(ISNUMBER('Список деталей'!C113), 'Список деталей'!$B$5,"")</f>
        <v/>
      </c>
      <c r="L105" s="3" t="str">
        <f>IF(ISNUMBER('Список деталей'!C113), 'Список деталей'!$I$4,"")</f>
        <v/>
      </c>
    </row>
    <row r="106" spans="1:12" x14ac:dyDescent="0.45">
      <c r="A106" s="3" t="str">
        <f>IF(ISBLANK('Список деталей'!C114),"",'Список деталей'!A114)</f>
        <v/>
      </c>
      <c r="B106" s="24" t="str">
        <f>IF(ISNUMBER('Список деталей'!C114), 'Список деталей'!C114, "")</f>
        <v/>
      </c>
      <c r="C106" s="24" t="str">
        <f>IF(ISNUMBER('Список деталей'!D114), 'Список деталей'!D114, "")</f>
        <v/>
      </c>
      <c r="D106" s="24" t="str">
        <f>IF(ISNUMBER('Список деталей'!E114), 'Список деталей'!E114, "")</f>
        <v/>
      </c>
      <c r="E106" s="24"/>
      <c r="F106" s="25" t="str">
        <f>IF(ISBLANK('Список деталей'!F114),"",VLOOKUP('Список деталей'!F114,Справочник!$A$4:$D$11,4,0))</f>
        <v/>
      </c>
      <c r="G106" s="25" t="str">
        <f>IF(ISBLANK('Список деталей'!G114),"",VLOOKUP('Список деталей'!G114,Справочник!$A$4:$D$11,4,0))</f>
        <v/>
      </c>
      <c r="H106" s="25" t="str">
        <f>IF(ISBLANK('Список деталей'!H114),"",VLOOKUP('Список деталей'!H114,Справочник!$A$4:$D$11,4,0))</f>
        <v/>
      </c>
      <c r="I106" s="25" t="str">
        <f>IF(ISBLANK('Список деталей'!I114),"",VLOOKUP('Список деталей'!I114,Справочник!$A$4:$D$11,4,0))</f>
        <v/>
      </c>
      <c r="J106" s="24" t="str">
        <f>IF(ISBLANK('Список деталей'!K114),"",'Список деталей'!K114)</f>
        <v/>
      </c>
      <c r="K106" s="3" t="str">
        <f>IF(ISNUMBER('Список деталей'!C114), 'Список деталей'!$B$5,"")</f>
        <v/>
      </c>
      <c r="L106" s="3" t="str">
        <f>IF(ISNUMBER('Список деталей'!C114), 'Список деталей'!$I$4,"")</f>
        <v/>
      </c>
    </row>
    <row r="107" spans="1:12" x14ac:dyDescent="0.45">
      <c r="A107" s="3" t="str">
        <f>IF(ISBLANK('Список деталей'!C115),"",'Список деталей'!A115)</f>
        <v/>
      </c>
      <c r="B107" s="24" t="str">
        <f>IF(ISNUMBER('Список деталей'!C115), 'Список деталей'!C115, "")</f>
        <v/>
      </c>
      <c r="C107" s="24" t="str">
        <f>IF(ISNUMBER('Список деталей'!D115), 'Список деталей'!D115, "")</f>
        <v/>
      </c>
      <c r="D107" s="24" t="str">
        <f>IF(ISNUMBER('Список деталей'!E115), 'Список деталей'!E115, "")</f>
        <v/>
      </c>
      <c r="E107" s="24"/>
      <c r="F107" s="25" t="str">
        <f>IF(ISBLANK('Список деталей'!F115),"",VLOOKUP('Список деталей'!F115,Справочник!$A$4:$D$11,4,0))</f>
        <v/>
      </c>
      <c r="G107" s="25" t="str">
        <f>IF(ISBLANK('Список деталей'!G115),"",VLOOKUP('Список деталей'!G115,Справочник!$A$4:$D$11,4,0))</f>
        <v/>
      </c>
      <c r="H107" s="25" t="str">
        <f>IF(ISBLANK('Список деталей'!H115),"",VLOOKUP('Список деталей'!H115,Справочник!$A$4:$D$11,4,0))</f>
        <v/>
      </c>
      <c r="I107" s="25" t="str">
        <f>IF(ISBLANK('Список деталей'!I115),"",VLOOKUP('Список деталей'!I115,Справочник!$A$4:$D$11,4,0))</f>
        <v/>
      </c>
      <c r="J107" s="24" t="str">
        <f>IF(ISBLANK('Список деталей'!K115),"",'Список деталей'!K115)</f>
        <v/>
      </c>
      <c r="K107" s="3" t="str">
        <f>IF(ISNUMBER('Список деталей'!C115), 'Список деталей'!$B$5,"")</f>
        <v/>
      </c>
      <c r="L107" s="3" t="str">
        <f>IF(ISNUMBER('Список деталей'!C115), 'Список деталей'!$I$4,"")</f>
        <v/>
      </c>
    </row>
    <row r="108" spans="1:12" x14ac:dyDescent="0.45">
      <c r="A108" s="3" t="str">
        <f>IF(ISBLANK('Список деталей'!C116),"",'Список деталей'!A116)</f>
        <v/>
      </c>
      <c r="B108" s="24" t="str">
        <f>IF(ISNUMBER('Список деталей'!C116), 'Список деталей'!C116, "")</f>
        <v/>
      </c>
      <c r="C108" s="24" t="str">
        <f>IF(ISNUMBER('Список деталей'!D116), 'Список деталей'!D116, "")</f>
        <v/>
      </c>
      <c r="D108" s="24" t="str">
        <f>IF(ISNUMBER('Список деталей'!E116), 'Список деталей'!E116, "")</f>
        <v/>
      </c>
      <c r="E108" s="24"/>
      <c r="F108" s="25" t="str">
        <f>IF(ISBLANK('Список деталей'!F116),"",VLOOKUP('Список деталей'!F116,Справочник!$A$4:$D$11,4,0))</f>
        <v/>
      </c>
      <c r="G108" s="25" t="str">
        <f>IF(ISBLANK('Список деталей'!G116),"",VLOOKUP('Список деталей'!G116,Справочник!$A$4:$D$11,4,0))</f>
        <v/>
      </c>
      <c r="H108" s="25" t="str">
        <f>IF(ISBLANK('Список деталей'!H116),"",VLOOKUP('Список деталей'!H116,Справочник!$A$4:$D$11,4,0))</f>
        <v/>
      </c>
      <c r="I108" s="25" t="str">
        <f>IF(ISBLANK('Список деталей'!I116),"",VLOOKUP('Список деталей'!I116,Справочник!$A$4:$D$11,4,0))</f>
        <v/>
      </c>
      <c r="J108" s="24" t="str">
        <f>IF(ISBLANK('Список деталей'!K116),"",'Список деталей'!K116)</f>
        <v/>
      </c>
      <c r="K108" s="3" t="str">
        <f>IF(ISNUMBER('Список деталей'!C116), 'Список деталей'!$B$5,"")</f>
        <v/>
      </c>
      <c r="L108" s="3" t="str">
        <f>IF(ISNUMBER('Список деталей'!C116), 'Список деталей'!$I$4,"")</f>
        <v/>
      </c>
    </row>
    <row r="109" spans="1:12" x14ac:dyDescent="0.45">
      <c r="A109" s="3" t="str">
        <f>IF(ISBLANK('Список деталей'!C117),"",'Список деталей'!A117)</f>
        <v/>
      </c>
      <c r="B109" s="24" t="str">
        <f>IF(ISNUMBER('Список деталей'!C117), 'Список деталей'!C117, "")</f>
        <v/>
      </c>
      <c r="C109" s="24" t="str">
        <f>IF(ISNUMBER('Список деталей'!D117), 'Список деталей'!D117, "")</f>
        <v/>
      </c>
      <c r="D109" s="24" t="str">
        <f>IF(ISNUMBER('Список деталей'!E117), 'Список деталей'!E117, "")</f>
        <v/>
      </c>
      <c r="E109" s="24"/>
      <c r="F109" s="25" t="str">
        <f>IF(ISBLANK('Список деталей'!F117),"",VLOOKUP('Список деталей'!F117,Справочник!$A$4:$D$11,4,0))</f>
        <v/>
      </c>
      <c r="G109" s="25" t="str">
        <f>IF(ISBLANK('Список деталей'!G117),"",VLOOKUP('Список деталей'!G117,Справочник!$A$4:$D$11,4,0))</f>
        <v/>
      </c>
      <c r="H109" s="25" t="str">
        <f>IF(ISBLANK('Список деталей'!H117),"",VLOOKUP('Список деталей'!H117,Справочник!$A$4:$D$11,4,0))</f>
        <v/>
      </c>
      <c r="I109" s="25" t="str">
        <f>IF(ISBLANK('Список деталей'!I117),"",VLOOKUP('Список деталей'!I117,Справочник!$A$4:$D$11,4,0))</f>
        <v/>
      </c>
      <c r="J109" s="24" t="str">
        <f>IF(ISBLANK('Список деталей'!K117),"",'Список деталей'!K117)</f>
        <v/>
      </c>
      <c r="K109" s="3" t="str">
        <f>IF(ISNUMBER('Список деталей'!C117), 'Список деталей'!$B$5,"")</f>
        <v/>
      </c>
      <c r="L109" s="3" t="str">
        <f>IF(ISNUMBER('Список деталей'!C117), 'Список деталей'!$I$4,"")</f>
        <v/>
      </c>
    </row>
    <row r="110" spans="1:12" x14ac:dyDescent="0.45">
      <c r="A110" s="3" t="str">
        <f>IF(ISBLANK('Список деталей'!C118),"",'Список деталей'!A118)</f>
        <v/>
      </c>
      <c r="B110" s="24" t="str">
        <f>IF(ISNUMBER('Список деталей'!C118), 'Список деталей'!C118, "")</f>
        <v/>
      </c>
      <c r="C110" s="24" t="str">
        <f>IF(ISNUMBER('Список деталей'!D118), 'Список деталей'!D118, "")</f>
        <v/>
      </c>
      <c r="D110" s="24" t="str">
        <f>IF(ISNUMBER('Список деталей'!E118), 'Список деталей'!E118, "")</f>
        <v/>
      </c>
      <c r="E110" s="24"/>
      <c r="F110" s="25" t="str">
        <f>IF(ISBLANK('Список деталей'!F118),"",VLOOKUP('Список деталей'!F118,Справочник!$A$4:$D$11,4,0))</f>
        <v/>
      </c>
      <c r="G110" s="25" t="str">
        <f>IF(ISBLANK('Список деталей'!G118),"",VLOOKUP('Список деталей'!G118,Справочник!$A$4:$D$11,4,0))</f>
        <v/>
      </c>
      <c r="H110" s="25" t="str">
        <f>IF(ISBLANK('Список деталей'!H118),"",VLOOKUP('Список деталей'!H118,Справочник!$A$4:$D$11,4,0))</f>
        <v/>
      </c>
      <c r="I110" s="25" t="str">
        <f>IF(ISBLANK('Список деталей'!I118),"",VLOOKUP('Список деталей'!I118,Справочник!$A$4:$D$11,4,0))</f>
        <v/>
      </c>
      <c r="J110" s="24" t="str">
        <f>IF(ISBLANK('Список деталей'!K118),"",'Список деталей'!K118)</f>
        <v/>
      </c>
      <c r="K110" s="3" t="str">
        <f>IF(ISNUMBER('Список деталей'!C118), 'Список деталей'!$B$5,"")</f>
        <v/>
      </c>
      <c r="L110" s="3" t="str">
        <f>IF(ISNUMBER('Список деталей'!C118), 'Список деталей'!$I$4,"")</f>
        <v/>
      </c>
    </row>
    <row r="111" spans="1:12" x14ac:dyDescent="0.45">
      <c r="A111" s="3" t="str">
        <f>IF(ISBLANK('Список деталей'!C119),"",'Список деталей'!A119)</f>
        <v/>
      </c>
      <c r="B111" s="24" t="str">
        <f>IF(ISNUMBER('Список деталей'!C119), 'Список деталей'!C119, "")</f>
        <v/>
      </c>
      <c r="C111" s="24" t="str">
        <f>IF(ISNUMBER('Список деталей'!D119), 'Список деталей'!D119, "")</f>
        <v/>
      </c>
      <c r="D111" s="24" t="str">
        <f>IF(ISNUMBER('Список деталей'!E119), 'Список деталей'!E119, "")</f>
        <v/>
      </c>
      <c r="E111" s="24"/>
      <c r="F111" s="25" t="str">
        <f>IF(ISBLANK('Список деталей'!F119),"",VLOOKUP('Список деталей'!F119,Справочник!$A$4:$D$11,4,0))</f>
        <v/>
      </c>
      <c r="G111" s="25" t="str">
        <f>IF(ISBLANK('Список деталей'!G119),"",VLOOKUP('Список деталей'!G119,Справочник!$A$4:$D$11,4,0))</f>
        <v/>
      </c>
      <c r="H111" s="25" t="str">
        <f>IF(ISBLANK('Список деталей'!H119),"",VLOOKUP('Список деталей'!H119,Справочник!$A$4:$D$11,4,0))</f>
        <v/>
      </c>
      <c r="I111" s="25" t="str">
        <f>IF(ISBLANK('Список деталей'!I119),"",VLOOKUP('Список деталей'!I119,Справочник!$A$4:$D$11,4,0))</f>
        <v/>
      </c>
      <c r="J111" s="24" t="str">
        <f>IF(ISBLANK('Список деталей'!K119),"",'Список деталей'!K119)</f>
        <v/>
      </c>
      <c r="K111" s="3" t="str">
        <f>IF(ISNUMBER('Список деталей'!C119), 'Список деталей'!$B$5,"")</f>
        <v/>
      </c>
      <c r="L111" s="3" t="str">
        <f>IF(ISNUMBER('Список деталей'!C119), 'Список деталей'!$I$4,"")</f>
        <v/>
      </c>
    </row>
    <row r="112" spans="1:12" x14ac:dyDescent="0.45">
      <c r="A112" s="3" t="str">
        <f>IF(ISBLANK('Список деталей'!C120),"",'Список деталей'!A120)</f>
        <v/>
      </c>
      <c r="B112" s="24" t="str">
        <f>IF(ISNUMBER('Список деталей'!C120), 'Список деталей'!C120, "")</f>
        <v/>
      </c>
      <c r="C112" s="24" t="str">
        <f>IF(ISNUMBER('Список деталей'!D120), 'Список деталей'!D120, "")</f>
        <v/>
      </c>
      <c r="D112" s="24" t="str">
        <f>IF(ISNUMBER('Список деталей'!E120), 'Список деталей'!E120, "")</f>
        <v/>
      </c>
      <c r="E112" s="24"/>
      <c r="F112" s="25" t="str">
        <f>IF(ISBLANK('Список деталей'!F120),"",VLOOKUP('Список деталей'!F120,Справочник!$A$4:$D$11,4,0))</f>
        <v/>
      </c>
      <c r="G112" s="25" t="str">
        <f>IF(ISBLANK('Список деталей'!G120),"",VLOOKUP('Список деталей'!G120,Справочник!$A$4:$D$11,4,0))</f>
        <v/>
      </c>
      <c r="H112" s="25" t="str">
        <f>IF(ISBLANK('Список деталей'!H120),"",VLOOKUP('Список деталей'!H120,Справочник!$A$4:$D$11,4,0))</f>
        <v/>
      </c>
      <c r="I112" s="25" t="str">
        <f>IF(ISBLANK('Список деталей'!I120),"",VLOOKUP('Список деталей'!I120,Справочник!$A$4:$D$11,4,0))</f>
        <v/>
      </c>
      <c r="J112" s="24" t="str">
        <f>IF(ISBLANK('Список деталей'!K120),"",'Список деталей'!K120)</f>
        <v/>
      </c>
      <c r="K112" s="3" t="str">
        <f>IF(ISNUMBER('Список деталей'!C120), 'Список деталей'!$B$5,"")</f>
        <v/>
      </c>
      <c r="L112" s="3" t="str">
        <f>IF(ISNUMBER('Список деталей'!C120), 'Список деталей'!$I$4,"")</f>
        <v/>
      </c>
    </row>
    <row r="113" spans="1:12" x14ac:dyDescent="0.45">
      <c r="A113" s="3" t="str">
        <f>IF(ISBLANK('Список деталей'!C121),"",'Список деталей'!A121)</f>
        <v/>
      </c>
      <c r="B113" s="24" t="str">
        <f>IF(ISNUMBER('Список деталей'!C121), 'Список деталей'!C121, "")</f>
        <v/>
      </c>
      <c r="C113" s="24" t="str">
        <f>IF(ISNUMBER('Список деталей'!D121), 'Список деталей'!D121, "")</f>
        <v/>
      </c>
      <c r="D113" s="24" t="str">
        <f>IF(ISNUMBER('Список деталей'!E121), 'Список деталей'!E121, "")</f>
        <v/>
      </c>
      <c r="E113" s="24"/>
      <c r="F113" s="25" t="str">
        <f>IF(ISBLANK('Список деталей'!F121),"",VLOOKUP('Список деталей'!F121,Справочник!$A$4:$D$11,4,0))</f>
        <v/>
      </c>
      <c r="G113" s="25" t="str">
        <f>IF(ISBLANK('Список деталей'!G121),"",VLOOKUP('Список деталей'!G121,Справочник!$A$4:$D$11,4,0))</f>
        <v/>
      </c>
      <c r="H113" s="25" t="str">
        <f>IF(ISBLANK('Список деталей'!H121),"",VLOOKUP('Список деталей'!H121,Справочник!$A$4:$D$11,4,0))</f>
        <v/>
      </c>
      <c r="I113" s="25" t="str">
        <f>IF(ISBLANK('Список деталей'!I121),"",VLOOKUP('Список деталей'!I121,Справочник!$A$4:$D$11,4,0))</f>
        <v/>
      </c>
      <c r="J113" s="24" t="str">
        <f>IF(ISBLANK('Список деталей'!K121),"",'Список деталей'!K121)</f>
        <v/>
      </c>
      <c r="K113" s="3" t="str">
        <f>IF(ISNUMBER('Список деталей'!C121), 'Список деталей'!$B$5,"")</f>
        <v/>
      </c>
      <c r="L113" s="3" t="str">
        <f>IF(ISNUMBER('Список деталей'!C121), 'Список деталей'!$I$4,"")</f>
        <v/>
      </c>
    </row>
    <row r="114" spans="1:12" x14ac:dyDescent="0.45">
      <c r="A114" s="3" t="str">
        <f>IF(ISBLANK('Список деталей'!C122),"",'Список деталей'!A122)</f>
        <v/>
      </c>
      <c r="B114" s="24" t="str">
        <f>IF(ISNUMBER('Список деталей'!C122), 'Список деталей'!C122, "")</f>
        <v/>
      </c>
      <c r="C114" s="24" t="str">
        <f>IF(ISNUMBER('Список деталей'!D122), 'Список деталей'!D122, "")</f>
        <v/>
      </c>
      <c r="D114" s="24" t="str">
        <f>IF(ISNUMBER('Список деталей'!E122), 'Список деталей'!E122, "")</f>
        <v/>
      </c>
      <c r="E114" s="24"/>
      <c r="F114" s="25" t="str">
        <f>IF(ISBLANK('Список деталей'!F122),"",VLOOKUP('Список деталей'!F122,Справочник!$A$4:$D$11,4,0))</f>
        <v/>
      </c>
      <c r="G114" s="25" t="str">
        <f>IF(ISBLANK('Список деталей'!G122),"",VLOOKUP('Список деталей'!G122,Справочник!$A$4:$D$11,4,0))</f>
        <v/>
      </c>
      <c r="H114" s="25" t="str">
        <f>IF(ISBLANK('Список деталей'!H122),"",VLOOKUP('Список деталей'!H122,Справочник!$A$4:$D$11,4,0))</f>
        <v/>
      </c>
      <c r="I114" s="25" t="str">
        <f>IF(ISBLANK('Список деталей'!I122),"",VLOOKUP('Список деталей'!I122,Справочник!$A$4:$D$11,4,0))</f>
        <v/>
      </c>
      <c r="J114" s="24" t="str">
        <f>IF(ISBLANK('Список деталей'!K122),"",'Список деталей'!K122)</f>
        <v/>
      </c>
      <c r="K114" s="3" t="str">
        <f>IF(ISNUMBER('Список деталей'!C122), 'Список деталей'!$B$5,"")</f>
        <v/>
      </c>
      <c r="L114" s="3" t="str">
        <f>IF(ISNUMBER('Список деталей'!C122), 'Список деталей'!$I$4,"")</f>
        <v/>
      </c>
    </row>
    <row r="115" spans="1:12" x14ac:dyDescent="0.45">
      <c r="A115" s="3" t="str">
        <f>IF(ISBLANK('Список деталей'!C123),"",'Список деталей'!A123)</f>
        <v/>
      </c>
      <c r="B115" s="24" t="str">
        <f>IF(ISNUMBER('Список деталей'!C123), 'Список деталей'!C123, "")</f>
        <v/>
      </c>
      <c r="C115" s="24" t="str">
        <f>IF(ISNUMBER('Список деталей'!D123), 'Список деталей'!D123, "")</f>
        <v/>
      </c>
      <c r="D115" s="24" t="str">
        <f>IF(ISNUMBER('Список деталей'!E123), 'Список деталей'!E123, "")</f>
        <v/>
      </c>
      <c r="E115" s="24"/>
      <c r="F115" s="25" t="str">
        <f>IF(ISBLANK('Список деталей'!F123),"",VLOOKUP('Список деталей'!F123,Справочник!$A$4:$D$11,4,0))</f>
        <v/>
      </c>
      <c r="G115" s="25" t="str">
        <f>IF(ISBLANK('Список деталей'!G123),"",VLOOKUP('Список деталей'!G123,Справочник!$A$4:$D$11,4,0))</f>
        <v/>
      </c>
      <c r="H115" s="25" t="str">
        <f>IF(ISBLANK('Список деталей'!H123),"",VLOOKUP('Список деталей'!H123,Справочник!$A$4:$D$11,4,0))</f>
        <v/>
      </c>
      <c r="I115" s="25" t="str">
        <f>IF(ISBLANK('Список деталей'!I123),"",VLOOKUP('Список деталей'!I123,Справочник!$A$4:$D$11,4,0))</f>
        <v/>
      </c>
      <c r="J115" s="24" t="str">
        <f>IF(ISBLANK('Список деталей'!K123),"",'Список деталей'!K123)</f>
        <v/>
      </c>
      <c r="K115" s="3" t="str">
        <f>IF(ISNUMBER('Список деталей'!C123), 'Список деталей'!$B$5,"")</f>
        <v/>
      </c>
      <c r="L115" s="3" t="str">
        <f>IF(ISNUMBER('Список деталей'!C123), 'Список деталей'!$I$4,"")</f>
        <v/>
      </c>
    </row>
    <row r="116" spans="1:12" x14ac:dyDescent="0.45">
      <c r="A116" s="3" t="str">
        <f>IF(ISBLANK('Список деталей'!C124),"",'Список деталей'!A124)</f>
        <v/>
      </c>
      <c r="B116" s="24" t="str">
        <f>IF(ISNUMBER('Список деталей'!C124), 'Список деталей'!C124, "")</f>
        <v/>
      </c>
      <c r="C116" s="24" t="str">
        <f>IF(ISNUMBER('Список деталей'!D124), 'Список деталей'!D124, "")</f>
        <v/>
      </c>
      <c r="D116" s="24" t="str">
        <f>IF(ISNUMBER('Список деталей'!E124), 'Список деталей'!E124, "")</f>
        <v/>
      </c>
      <c r="E116" s="24"/>
      <c r="F116" s="25" t="str">
        <f>IF(ISBLANK('Список деталей'!F124),"",VLOOKUP('Список деталей'!F124,Справочник!$A$4:$D$11,4,0))</f>
        <v/>
      </c>
      <c r="G116" s="25" t="str">
        <f>IF(ISBLANK('Список деталей'!G124),"",VLOOKUP('Список деталей'!G124,Справочник!$A$4:$D$11,4,0))</f>
        <v/>
      </c>
      <c r="H116" s="25" t="str">
        <f>IF(ISBLANK('Список деталей'!H124),"",VLOOKUP('Список деталей'!H124,Справочник!$A$4:$D$11,4,0))</f>
        <v/>
      </c>
      <c r="I116" s="25" t="str">
        <f>IF(ISBLANK('Список деталей'!I124),"",VLOOKUP('Список деталей'!I124,Справочник!$A$4:$D$11,4,0))</f>
        <v/>
      </c>
      <c r="J116" s="24" t="str">
        <f>IF(ISBLANK('Список деталей'!K124),"",'Список деталей'!K124)</f>
        <v/>
      </c>
      <c r="K116" s="3" t="str">
        <f>IF(ISNUMBER('Список деталей'!C124), 'Список деталей'!$B$5,"")</f>
        <v/>
      </c>
      <c r="L116" s="3" t="str">
        <f>IF(ISNUMBER('Список деталей'!C124), 'Список деталей'!$I$4,"")</f>
        <v/>
      </c>
    </row>
    <row r="117" spans="1:12" x14ac:dyDescent="0.45">
      <c r="A117" s="3" t="str">
        <f>IF(ISBLANK('Список деталей'!C125),"",'Список деталей'!A125)</f>
        <v/>
      </c>
      <c r="B117" s="24" t="str">
        <f>IF(ISNUMBER('Список деталей'!C125), 'Список деталей'!C125, "")</f>
        <v/>
      </c>
      <c r="C117" s="24" t="str">
        <f>IF(ISNUMBER('Список деталей'!D125), 'Список деталей'!D125, "")</f>
        <v/>
      </c>
      <c r="D117" s="24" t="str">
        <f>IF(ISNUMBER('Список деталей'!E125), 'Список деталей'!E125, "")</f>
        <v/>
      </c>
      <c r="E117" s="24"/>
      <c r="F117" s="25" t="str">
        <f>IF(ISBLANK('Список деталей'!F125),"",VLOOKUP('Список деталей'!F125,Справочник!$A$4:$D$11,4,0))</f>
        <v/>
      </c>
      <c r="G117" s="25" t="str">
        <f>IF(ISBLANK('Список деталей'!G125),"",VLOOKUP('Список деталей'!G125,Справочник!$A$4:$D$11,4,0))</f>
        <v/>
      </c>
      <c r="H117" s="25" t="str">
        <f>IF(ISBLANK('Список деталей'!H125),"",VLOOKUP('Список деталей'!H125,Справочник!$A$4:$D$11,4,0))</f>
        <v/>
      </c>
      <c r="I117" s="25" t="str">
        <f>IF(ISBLANK('Список деталей'!I125),"",VLOOKUP('Список деталей'!I125,Справочник!$A$4:$D$11,4,0))</f>
        <v/>
      </c>
      <c r="J117" s="24" t="str">
        <f>IF(ISBLANK('Список деталей'!K125),"",'Список деталей'!K125)</f>
        <v/>
      </c>
      <c r="K117" s="3" t="str">
        <f>IF(ISNUMBER('Список деталей'!C125), 'Список деталей'!$B$5,"")</f>
        <v/>
      </c>
      <c r="L117" s="3" t="str">
        <f>IF(ISNUMBER('Список деталей'!C125), 'Список деталей'!$I$4,"")</f>
        <v/>
      </c>
    </row>
    <row r="118" spans="1:12" x14ac:dyDescent="0.45">
      <c r="A118" s="3" t="str">
        <f>IF(ISBLANK('Список деталей'!C126),"",'Список деталей'!A126)</f>
        <v/>
      </c>
      <c r="B118" s="24" t="str">
        <f>IF(ISNUMBER('Список деталей'!C126), 'Список деталей'!C126, "")</f>
        <v/>
      </c>
      <c r="C118" s="24" t="str">
        <f>IF(ISNUMBER('Список деталей'!D126), 'Список деталей'!D126, "")</f>
        <v/>
      </c>
      <c r="D118" s="24" t="str">
        <f>IF(ISNUMBER('Список деталей'!E126), 'Список деталей'!E126, "")</f>
        <v/>
      </c>
      <c r="E118" s="24"/>
      <c r="F118" s="25" t="str">
        <f>IF(ISBLANK('Список деталей'!F126),"",VLOOKUP('Список деталей'!F126,Справочник!$A$4:$D$11,4,0))</f>
        <v/>
      </c>
      <c r="G118" s="25" t="str">
        <f>IF(ISBLANK('Список деталей'!G126),"",VLOOKUP('Список деталей'!G126,Справочник!$A$4:$D$11,4,0))</f>
        <v/>
      </c>
      <c r="H118" s="25" t="str">
        <f>IF(ISBLANK('Список деталей'!H126),"",VLOOKUP('Список деталей'!H126,Справочник!$A$4:$D$11,4,0))</f>
        <v/>
      </c>
      <c r="I118" s="25" t="str">
        <f>IF(ISBLANK('Список деталей'!I126),"",VLOOKUP('Список деталей'!I126,Справочник!$A$4:$D$11,4,0))</f>
        <v/>
      </c>
      <c r="J118" s="24" t="str">
        <f>IF(ISBLANK('Список деталей'!K126),"",'Список деталей'!K126)</f>
        <v/>
      </c>
      <c r="K118" s="3" t="str">
        <f>IF(ISNUMBER('Список деталей'!C126), 'Список деталей'!$B$5,"")</f>
        <v/>
      </c>
      <c r="L118" s="3" t="str">
        <f>IF(ISNUMBER('Список деталей'!C126), 'Список деталей'!$I$4,"")</f>
        <v/>
      </c>
    </row>
    <row r="119" spans="1:12" x14ac:dyDescent="0.45">
      <c r="A119" s="3" t="str">
        <f>IF(ISBLANK('Список деталей'!C127),"",'Список деталей'!A127)</f>
        <v/>
      </c>
      <c r="B119" s="24" t="str">
        <f>IF(ISNUMBER('Список деталей'!C127), 'Список деталей'!C127, "")</f>
        <v/>
      </c>
      <c r="C119" s="24" t="str">
        <f>IF(ISNUMBER('Список деталей'!D127), 'Список деталей'!D127, "")</f>
        <v/>
      </c>
      <c r="D119" s="24" t="str">
        <f>IF(ISNUMBER('Список деталей'!E127), 'Список деталей'!E127, "")</f>
        <v/>
      </c>
      <c r="E119" s="24"/>
      <c r="F119" s="25" t="str">
        <f>IF(ISBLANK('Список деталей'!F127),"",VLOOKUP('Список деталей'!F127,Справочник!$A$4:$D$11,4,0))</f>
        <v/>
      </c>
      <c r="G119" s="25" t="str">
        <f>IF(ISBLANK('Список деталей'!G127),"",VLOOKUP('Список деталей'!G127,Справочник!$A$4:$D$11,4,0))</f>
        <v/>
      </c>
      <c r="H119" s="25" t="str">
        <f>IF(ISBLANK('Список деталей'!H127),"",VLOOKUP('Список деталей'!H127,Справочник!$A$4:$D$11,4,0))</f>
        <v/>
      </c>
      <c r="I119" s="25" t="str">
        <f>IF(ISBLANK('Список деталей'!I127),"",VLOOKUP('Список деталей'!I127,Справочник!$A$4:$D$11,4,0))</f>
        <v/>
      </c>
      <c r="J119" s="24" t="str">
        <f>IF(ISBLANK('Список деталей'!K127),"",'Список деталей'!K127)</f>
        <v/>
      </c>
      <c r="K119" s="3" t="str">
        <f>IF(ISNUMBER('Список деталей'!C127), 'Список деталей'!$B$5,"")</f>
        <v/>
      </c>
      <c r="L119" s="3" t="str">
        <f>IF(ISNUMBER('Список деталей'!C127), 'Список деталей'!$I$4,"")</f>
        <v/>
      </c>
    </row>
    <row r="120" spans="1:12" x14ac:dyDescent="0.45">
      <c r="A120" s="3" t="str">
        <f>IF(ISBLANK('Список деталей'!C128),"",'Список деталей'!A128)</f>
        <v/>
      </c>
      <c r="B120" s="24" t="str">
        <f>IF(ISNUMBER('Список деталей'!C128), 'Список деталей'!C128, "")</f>
        <v/>
      </c>
      <c r="C120" s="24" t="str">
        <f>IF(ISNUMBER('Список деталей'!D128), 'Список деталей'!D128, "")</f>
        <v/>
      </c>
      <c r="D120" s="24" t="str">
        <f>IF(ISNUMBER('Список деталей'!E128), 'Список деталей'!E128, "")</f>
        <v/>
      </c>
      <c r="E120" s="24"/>
      <c r="F120" s="25" t="str">
        <f>IF(ISBLANK('Список деталей'!F128),"",VLOOKUP('Список деталей'!F128,Справочник!$A$4:$D$11,4,0))</f>
        <v/>
      </c>
      <c r="G120" s="25" t="str">
        <f>IF(ISBLANK('Список деталей'!G128),"",VLOOKUP('Список деталей'!G128,Справочник!$A$4:$D$11,4,0))</f>
        <v/>
      </c>
      <c r="H120" s="25" t="str">
        <f>IF(ISBLANK('Список деталей'!H128),"",VLOOKUP('Список деталей'!H128,Справочник!$A$4:$D$11,4,0))</f>
        <v/>
      </c>
      <c r="I120" s="25" t="str">
        <f>IF(ISBLANK('Список деталей'!I128),"",VLOOKUP('Список деталей'!I128,Справочник!$A$4:$D$11,4,0))</f>
        <v/>
      </c>
      <c r="J120" s="24" t="str">
        <f>IF(ISBLANK('Список деталей'!K128),"",'Список деталей'!K128)</f>
        <v/>
      </c>
      <c r="K120" s="3" t="str">
        <f>IF(ISNUMBER('Список деталей'!C128), 'Список деталей'!$B$5,"")</f>
        <v/>
      </c>
      <c r="L120" s="3" t="str">
        <f>IF(ISNUMBER('Список деталей'!C128), 'Список деталей'!$I$4,"")</f>
        <v/>
      </c>
    </row>
    <row r="121" spans="1:12" x14ac:dyDescent="0.45">
      <c r="A121" s="3" t="str">
        <f>IF(ISBLANK('Список деталей'!C129),"",'Список деталей'!A129)</f>
        <v/>
      </c>
      <c r="B121" s="24" t="str">
        <f>IF(ISNUMBER('Список деталей'!C129), 'Список деталей'!C129, "")</f>
        <v/>
      </c>
      <c r="C121" s="24" t="str">
        <f>IF(ISNUMBER('Список деталей'!D129), 'Список деталей'!D129, "")</f>
        <v/>
      </c>
      <c r="D121" s="24" t="str">
        <f>IF(ISNUMBER('Список деталей'!E129), 'Список деталей'!E129, "")</f>
        <v/>
      </c>
      <c r="E121" s="24"/>
      <c r="F121" s="25" t="str">
        <f>IF(ISBLANK('Список деталей'!F129),"",VLOOKUP('Список деталей'!F129,Справочник!$A$4:$D$11,4,0))</f>
        <v/>
      </c>
      <c r="G121" s="25" t="str">
        <f>IF(ISBLANK('Список деталей'!G129),"",VLOOKUP('Список деталей'!G129,Справочник!$A$4:$D$11,4,0))</f>
        <v/>
      </c>
      <c r="H121" s="25" t="str">
        <f>IF(ISBLANK('Список деталей'!H129),"",VLOOKUP('Список деталей'!H129,Справочник!$A$4:$D$11,4,0))</f>
        <v/>
      </c>
      <c r="I121" s="25" t="str">
        <f>IF(ISBLANK('Список деталей'!I129),"",VLOOKUP('Список деталей'!I129,Справочник!$A$4:$D$11,4,0))</f>
        <v/>
      </c>
      <c r="J121" s="24" t="str">
        <f>IF(ISBLANK('Список деталей'!K129),"",'Список деталей'!K129)</f>
        <v/>
      </c>
      <c r="K121" s="3" t="str">
        <f>IF(ISNUMBER('Список деталей'!C129), 'Список деталей'!$B$5,"")</f>
        <v/>
      </c>
      <c r="L121" s="3" t="str">
        <f>IF(ISNUMBER('Список деталей'!C129), 'Список деталей'!$I$4,"")</f>
        <v/>
      </c>
    </row>
    <row r="122" spans="1:12" x14ac:dyDescent="0.45">
      <c r="A122" s="3" t="str">
        <f>IF(ISBLANK('Список деталей'!C130),"",'Список деталей'!A130)</f>
        <v/>
      </c>
      <c r="B122" s="24" t="str">
        <f>IF(ISNUMBER('Список деталей'!C130), 'Список деталей'!C130, "")</f>
        <v/>
      </c>
      <c r="C122" s="24" t="str">
        <f>IF(ISNUMBER('Список деталей'!D130), 'Список деталей'!D130, "")</f>
        <v/>
      </c>
      <c r="D122" s="24" t="str">
        <f>IF(ISNUMBER('Список деталей'!E130), 'Список деталей'!E130, "")</f>
        <v/>
      </c>
      <c r="E122" s="24"/>
      <c r="F122" s="25" t="str">
        <f>IF(ISBLANK('Список деталей'!F130),"",VLOOKUP('Список деталей'!F130,Справочник!$A$4:$D$11,4,0))</f>
        <v/>
      </c>
      <c r="G122" s="25" t="str">
        <f>IF(ISBLANK('Список деталей'!G130),"",VLOOKUP('Список деталей'!G130,Справочник!$A$4:$D$11,4,0))</f>
        <v/>
      </c>
      <c r="H122" s="25" t="str">
        <f>IF(ISBLANK('Список деталей'!H130),"",VLOOKUP('Список деталей'!H130,Справочник!$A$4:$D$11,4,0))</f>
        <v/>
      </c>
      <c r="I122" s="25" t="str">
        <f>IF(ISBLANK('Список деталей'!I130),"",VLOOKUP('Список деталей'!I130,Справочник!$A$4:$D$11,4,0))</f>
        <v/>
      </c>
      <c r="J122" s="24" t="str">
        <f>IF(ISBLANK('Список деталей'!K130),"",'Список деталей'!K130)</f>
        <v/>
      </c>
      <c r="K122" s="3" t="str">
        <f>IF(ISNUMBER('Список деталей'!C130), 'Список деталей'!$B$5,"")</f>
        <v/>
      </c>
      <c r="L122" s="3" t="str">
        <f>IF(ISNUMBER('Список деталей'!C130), 'Список деталей'!$I$4,"")</f>
        <v/>
      </c>
    </row>
    <row r="123" spans="1:12" x14ac:dyDescent="0.45">
      <c r="A123" s="3" t="str">
        <f>IF(ISBLANK('Список деталей'!C131),"",'Список деталей'!A131)</f>
        <v/>
      </c>
      <c r="B123" s="24" t="str">
        <f>IF(ISNUMBER('Список деталей'!C131), 'Список деталей'!C131, "")</f>
        <v/>
      </c>
      <c r="C123" s="24" t="str">
        <f>IF(ISNUMBER('Список деталей'!D131), 'Список деталей'!D131, "")</f>
        <v/>
      </c>
      <c r="D123" s="24" t="str">
        <f>IF(ISNUMBER('Список деталей'!E131), 'Список деталей'!E131, "")</f>
        <v/>
      </c>
      <c r="E123" s="24"/>
      <c r="F123" s="25" t="str">
        <f>IF(ISBLANK('Список деталей'!F131),"",VLOOKUP('Список деталей'!F131,Справочник!$A$4:$D$11,4,0))</f>
        <v/>
      </c>
      <c r="G123" s="25" t="str">
        <f>IF(ISBLANK('Список деталей'!G131),"",VLOOKUP('Список деталей'!G131,Справочник!$A$4:$D$11,4,0))</f>
        <v/>
      </c>
      <c r="H123" s="25" t="str">
        <f>IF(ISBLANK('Список деталей'!H131),"",VLOOKUP('Список деталей'!H131,Справочник!$A$4:$D$11,4,0))</f>
        <v/>
      </c>
      <c r="I123" s="25" t="str">
        <f>IF(ISBLANK('Список деталей'!I131),"",VLOOKUP('Список деталей'!I131,Справочник!$A$4:$D$11,4,0))</f>
        <v/>
      </c>
      <c r="J123" s="24" t="str">
        <f>IF(ISBLANK('Список деталей'!K131),"",'Список деталей'!K131)</f>
        <v/>
      </c>
      <c r="K123" s="3" t="str">
        <f>IF(ISNUMBER('Список деталей'!C131), 'Список деталей'!$B$5,"")</f>
        <v/>
      </c>
      <c r="L123" s="3" t="str">
        <f>IF(ISNUMBER('Список деталей'!C131), 'Список деталей'!$I$4,"")</f>
        <v/>
      </c>
    </row>
    <row r="124" spans="1:12" x14ac:dyDescent="0.45">
      <c r="A124" s="3" t="str">
        <f>IF(ISBLANK('Список деталей'!C132),"",'Список деталей'!A132)</f>
        <v/>
      </c>
      <c r="B124" s="24" t="str">
        <f>IF(ISNUMBER('Список деталей'!C132), 'Список деталей'!C132, "")</f>
        <v/>
      </c>
      <c r="C124" s="24" t="str">
        <f>IF(ISNUMBER('Список деталей'!D132), 'Список деталей'!D132, "")</f>
        <v/>
      </c>
      <c r="D124" s="24" t="str">
        <f>IF(ISNUMBER('Список деталей'!E132), 'Список деталей'!E132, "")</f>
        <v/>
      </c>
      <c r="E124" s="24"/>
      <c r="F124" s="25" t="str">
        <f>IF(ISBLANK('Список деталей'!F132),"",VLOOKUP('Список деталей'!F132,Справочник!$A$4:$D$11,4,0))</f>
        <v/>
      </c>
      <c r="G124" s="25" t="str">
        <f>IF(ISBLANK('Список деталей'!G132),"",VLOOKUP('Список деталей'!G132,Справочник!$A$4:$D$11,4,0))</f>
        <v/>
      </c>
      <c r="H124" s="25" t="str">
        <f>IF(ISBLANK('Список деталей'!H132),"",VLOOKUP('Список деталей'!H132,Справочник!$A$4:$D$11,4,0))</f>
        <v/>
      </c>
      <c r="I124" s="25" t="str">
        <f>IF(ISBLANK('Список деталей'!I132),"",VLOOKUP('Список деталей'!I132,Справочник!$A$4:$D$11,4,0))</f>
        <v/>
      </c>
      <c r="J124" s="24" t="str">
        <f>IF(ISBLANK('Список деталей'!K132),"",'Список деталей'!K132)</f>
        <v/>
      </c>
      <c r="K124" s="3" t="str">
        <f>IF(ISNUMBER('Список деталей'!C132), 'Список деталей'!$B$5,"")</f>
        <v/>
      </c>
      <c r="L124" s="3" t="str">
        <f>IF(ISNUMBER('Список деталей'!C132), 'Список деталей'!$I$4,"")</f>
        <v/>
      </c>
    </row>
    <row r="125" spans="1:12" x14ac:dyDescent="0.45">
      <c r="A125" s="3" t="str">
        <f>IF(ISBLANK('Список деталей'!C133),"",'Список деталей'!A133)</f>
        <v/>
      </c>
      <c r="B125" s="24" t="str">
        <f>IF(ISNUMBER('Список деталей'!C133), 'Список деталей'!C133, "")</f>
        <v/>
      </c>
      <c r="C125" s="24" t="str">
        <f>IF(ISNUMBER('Список деталей'!D133), 'Список деталей'!D133, "")</f>
        <v/>
      </c>
      <c r="D125" s="24" t="str">
        <f>IF(ISNUMBER('Список деталей'!E133), 'Список деталей'!E133, "")</f>
        <v/>
      </c>
      <c r="E125" s="24"/>
      <c r="F125" s="25" t="str">
        <f>IF(ISBLANK('Список деталей'!F133),"",VLOOKUP('Список деталей'!F133,Справочник!$A$4:$D$11,4,0))</f>
        <v/>
      </c>
      <c r="G125" s="25" t="str">
        <f>IF(ISBLANK('Список деталей'!G133),"",VLOOKUP('Список деталей'!G133,Справочник!$A$4:$D$11,4,0))</f>
        <v/>
      </c>
      <c r="H125" s="25" t="str">
        <f>IF(ISBLANK('Список деталей'!H133),"",VLOOKUP('Список деталей'!H133,Справочник!$A$4:$D$11,4,0))</f>
        <v/>
      </c>
      <c r="I125" s="25" t="str">
        <f>IF(ISBLANK('Список деталей'!I133),"",VLOOKUP('Список деталей'!I133,Справочник!$A$4:$D$11,4,0))</f>
        <v/>
      </c>
      <c r="J125" s="24" t="str">
        <f>IF(ISBLANK('Список деталей'!K133),"",'Список деталей'!K133)</f>
        <v/>
      </c>
      <c r="K125" s="3" t="str">
        <f>IF(ISNUMBER('Список деталей'!C133), 'Список деталей'!$B$5,"")</f>
        <v/>
      </c>
      <c r="L125" s="3" t="str">
        <f>IF(ISNUMBER('Список деталей'!C133), 'Список деталей'!$I$4,"")</f>
        <v/>
      </c>
    </row>
    <row r="126" spans="1:12" x14ac:dyDescent="0.45">
      <c r="A126" s="3" t="str">
        <f>IF(ISBLANK('Список деталей'!C134),"",'Список деталей'!A134)</f>
        <v/>
      </c>
      <c r="B126" s="24" t="str">
        <f>IF(ISNUMBER('Список деталей'!C134), 'Список деталей'!C134, "")</f>
        <v/>
      </c>
      <c r="C126" s="24" t="str">
        <f>IF(ISNUMBER('Список деталей'!D134), 'Список деталей'!D134, "")</f>
        <v/>
      </c>
      <c r="D126" s="24" t="str">
        <f>IF(ISNUMBER('Список деталей'!E134), 'Список деталей'!E134, "")</f>
        <v/>
      </c>
      <c r="E126" s="24"/>
      <c r="F126" s="25" t="str">
        <f>IF(ISBLANK('Список деталей'!F134),"",VLOOKUP('Список деталей'!F134,Справочник!$A$4:$D$11,4,0))</f>
        <v/>
      </c>
      <c r="G126" s="25" t="str">
        <f>IF(ISBLANK('Список деталей'!G134),"",VLOOKUP('Список деталей'!G134,Справочник!$A$4:$D$11,4,0))</f>
        <v/>
      </c>
      <c r="H126" s="25" t="str">
        <f>IF(ISBLANK('Список деталей'!H134),"",VLOOKUP('Список деталей'!H134,Справочник!$A$4:$D$11,4,0))</f>
        <v/>
      </c>
      <c r="I126" s="25" t="str">
        <f>IF(ISBLANK('Список деталей'!I134),"",VLOOKUP('Список деталей'!I134,Справочник!$A$4:$D$11,4,0))</f>
        <v/>
      </c>
      <c r="J126" s="24" t="str">
        <f>IF(ISBLANK('Список деталей'!K134),"",'Список деталей'!K134)</f>
        <v/>
      </c>
      <c r="K126" s="3" t="str">
        <f>IF(ISNUMBER('Список деталей'!C134), 'Список деталей'!$B$5,"")</f>
        <v/>
      </c>
      <c r="L126" s="3" t="str">
        <f>IF(ISNUMBER('Список деталей'!C134), 'Список деталей'!$I$4,"")</f>
        <v/>
      </c>
    </row>
    <row r="127" spans="1:12" x14ac:dyDescent="0.45">
      <c r="A127" s="3" t="str">
        <f>IF(ISBLANK('Список деталей'!C135),"",'Список деталей'!A135)</f>
        <v/>
      </c>
      <c r="B127" s="24" t="str">
        <f>IF(ISNUMBER('Список деталей'!C135), 'Список деталей'!C135, "")</f>
        <v/>
      </c>
      <c r="C127" s="24" t="str">
        <f>IF(ISNUMBER('Список деталей'!D135), 'Список деталей'!D135, "")</f>
        <v/>
      </c>
      <c r="D127" s="24" t="str">
        <f>IF(ISNUMBER('Список деталей'!E135), 'Список деталей'!E135, "")</f>
        <v/>
      </c>
      <c r="E127" s="24"/>
      <c r="F127" s="25" t="str">
        <f>IF(ISBLANK('Список деталей'!F135),"",VLOOKUP('Список деталей'!F135,Справочник!$A$4:$D$11,4,0))</f>
        <v/>
      </c>
      <c r="G127" s="25" t="str">
        <f>IF(ISBLANK('Список деталей'!G135),"",VLOOKUP('Список деталей'!G135,Справочник!$A$4:$D$11,4,0))</f>
        <v/>
      </c>
      <c r="H127" s="25" t="str">
        <f>IF(ISBLANK('Список деталей'!H135),"",VLOOKUP('Список деталей'!H135,Справочник!$A$4:$D$11,4,0))</f>
        <v/>
      </c>
      <c r="I127" s="25" t="str">
        <f>IF(ISBLANK('Список деталей'!I135),"",VLOOKUP('Список деталей'!I135,Справочник!$A$4:$D$11,4,0))</f>
        <v/>
      </c>
      <c r="J127" s="24" t="str">
        <f>IF(ISBLANK('Список деталей'!K135),"",'Список деталей'!K135)</f>
        <v/>
      </c>
      <c r="K127" s="3" t="str">
        <f>IF(ISNUMBER('Список деталей'!C135), 'Список деталей'!$B$5,"")</f>
        <v/>
      </c>
      <c r="L127" s="3" t="str">
        <f>IF(ISNUMBER('Список деталей'!C135), 'Список деталей'!$I$4,"")</f>
        <v/>
      </c>
    </row>
    <row r="128" spans="1:12" x14ac:dyDescent="0.45">
      <c r="A128" s="3" t="str">
        <f>IF(ISBLANK('Список деталей'!C136),"",'Список деталей'!A136)</f>
        <v/>
      </c>
      <c r="B128" s="24" t="str">
        <f>IF(ISNUMBER('Список деталей'!C136), 'Список деталей'!C136, "")</f>
        <v/>
      </c>
      <c r="C128" s="24" t="str">
        <f>IF(ISNUMBER('Список деталей'!D136), 'Список деталей'!D136, "")</f>
        <v/>
      </c>
      <c r="D128" s="24" t="str">
        <f>IF(ISNUMBER('Список деталей'!E136), 'Список деталей'!E136, "")</f>
        <v/>
      </c>
      <c r="E128" s="24"/>
      <c r="F128" s="25" t="str">
        <f>IF(ISBLANK('Список деталей'!F136),"",VLOOKUP('Список деталей'!F136,Справочник!$A$4:$D$11,4,0))</f>
        <v/>
      </c>
      <c r="G128" s="25" t="str">
        <f>IF(ISBLANK('Список деталей'!G136),"",VLOOKUP('Список деталей'!G136,Справочник!$A$4:$D$11,4,0))</f>
        <v/>
      </c>
      <c r="H128" s="25" t="str">
        <f>IF(ISBLANK('Список деталей'!H136),"",VLOOKUP('Список деталей'!H136,Справочник!$A$4:$D$11,4,0))</f>
        <v/>
      </c>
      <c r="I128" s="25" t="str">
        <f>IF(ISBLANK('Список деталей'!I136),"",VLOOKUP('Список деталей'!I136,Справочник!$A$4:$D$11,4,0))</f>
        <v/>
      </c>
      <c r="J128" s="24" t="str">
        <f>IF(ISBLANK('Список деталей'!K136),"",'Список деталей'!K136)</f>
        <v/>
      </c>
      <c r="K128" s="3" t="str">
        <f>IF(ISNUMBER('Список деталей'!C136), 'Список деталей'!$B$5,"")</f>
        <v/>
      </c>
      <c r="L128" s="3" t="str">
        <f>IF(ISNUMBER('Список деталей'!C136), 'Список деталей'!$I$4,"")</f>
        <v/>
      </c>
    </row>
    <row r="129" spans="1:12" x14ac:dyDescent="0.45">
      <c r="A129" s="3" t="str">
        <f>IF(ISBLANK('Список деталей'!C137),"",'Список деталей'!A137)</f>
        <v/>
      </c>
      <c r="B129" s="24" t="str">
        <f>IF(ISNUMBER('Список деталей'!C137), 'Список деталей'!C137, "")</f>
        <v/>
      </c>
      <c r="C129" s="24" t="str">
        <f>IF(ISNUMBER('Список деталей'!D137), 'Список деталей'!D137, "")</f>
        <v/>
      </c>
      <c r="D129" s="24" t="str">
        <f>IF(ISNUMBER('Список деталей'!E137), 'Список деталей'!E137, "")</f>
        <v/>
      </c>
      <c r="E129" s="24"/>
      <c r="F129" s="25" t="str">
        <f>IF(ISBLANK('Список деталей'!F137),"",VLOOKUP('Список деталей'!F137,Справочник!$A$4:$D$11,4,0))</f>
        <v/>
      </c>
      <c r="G129" s="25" t="str">
        <f>IF(ISBLANK('Список деталей'!G137),"",VLOOKUP('Список деталей'!G137,Справочник!$A$4:$D$11,4,0))</f>
        <v/>
      </c>
      <c r="H129" s="25" t="str">
        <f>IF(ISBLANK('Список деталей'!H137),"",VLOOKUP('Список деталей'!H137,Справочник!$A$4:$D$11,4,0))</f>
        <v/>
      </c>
      <c r="I129" s="25" t="str">
        <f>IF(ISBLANK('Список деталей'!I137),"",VLOOKUP('Список деталей'!I137,Справочник!$A$4:$D$11,4,0))</f>
        <v/>
      </c>
      <c r="J129" s="24" t="str">
        <f>IF(ISBLANK('Список деталей'!K137),"",'Список деталей'!K137)</f>
        <v/>
      </c>
      <c r="K129" s="3" t="str">
        <f>IF(ISNUMBER('Список деталей'!C137), 'Список деталей'!$B$5,"")</f>
        <v/>
      </c>
      <c r="L129" s="3" t="str">
        <f>IF(ISNUMBER('Список деталей'!C137), 'Список деталей'!$I$4,"")</f>
        <v/>
      </c>
    </row>
    <row r="130" spans="1:12" x14ac:dyDescent="0.45">
      <c r="A130" s="3" t="str">
        <f>IF(ISBLANK('Список деталей'!C138),"",'Список деталей'!A138)</f>
        <v/>
      </c>
      <c r="B130" s="24" t="str">
        <f>IF(ISNUMBER('Список деталей'!C138), 'Список деталей'!C138, "")</f>
        <v/>
      </c>
      <c r="C130" s="24" t="str">
        <f>IF(ISNUMBER('Список деталей'!D138), 'Список деталей'!D138, "")</f>
        <v/>
      </c>
      <c r="D130" s="24" t="str">
        <f>IF(ISNUMBER('Список деталей'!E138), 'Список деталей'!E138, "")</f>
        <v/>
      </c>
      <c r="E130" s="24"/>
      <c r="F130" s="25" t="str">
        <f>IF(ISBLANK('Список деталей'!F138),"",VLOOKUP('Список деталей'!F138,Справочник!$A$4:$D$11,4,0))</f>
        <v/>
      </c>
      <c r="G130" s="25" t="str">
        <f>IF(ISBLANK('Список деталей'!G138),"",VLOOKUP('Список деталей'!G138,Справочник!$A$4:$D$11,4,0))</f>
        <v/>
      </c>
      <c r="H130" s="25" t="str">
        <f>IF(ISBLANK('Список деталей'!H138),"",VLOOKUP('Список деталей'!H138,Справочник!$A$4:$D$11,4,0))</f>
        <v/>
      </c>
      <c r="I130" s="25" t="str">
        <f>IF(ISBLANK('Список деталей'!I138),"",VLOOKUP('Список деталей'!I138,Справочник!$A$4:$D$11,4,0))</f>
        <v/>
      </c>
      <c r="J130" s="24" t="str">
        <f>IF(ISBLANK('Список деталей'!K138),"",'Список деталей'!K138)</f>
        <v/>
      </c>
      <c r="K130" s="3" t="str">
        <f>IF(ISNUMBER('Список деталей'!C138), 'Список деталей'!$B$5,"")</f>
        <v/>
      </c>
      <c r="L130" s="3" t="str">
        <f>IF(ISNUMBER('Список деталей'!C138), 'Список деталей'!$I$4,"")</f>
        <v/>
      </c>
    </row>
    <row r="131" spans="1:12" x14ac:dyDescent="0.45">
      <c r="A131" s="3" t="str">
        <f>IF(ISBLANK('Список деталей'!C139),"",'Список деталей'!A139)</f>
        <v/>
      </c>
      <c r="B131" s="24" t="str">
        <f>IF(ISNUMBER('Список деталей'!C139), 'Список деталей'!C139, "")</f>
        <v/>
      </c>
      <c r="C131" s="24" t="str">
        <f>IF(ISNUMBER('Список деталей'!D139), 'Список деталей'!D139, "")</f>
        <v/>
      </c>
      <c r="D131" s="24" t="str">
        <f>IF(ISNUMBER('Список деталей'!E139), 'Список деталей'!E139, "")</f>
        <v/>
      </c>
      <c r="E131" s="24"/>
      <c r="F131" s="25" t="str">
        <f>IF(ISBLANK('Список деталей'!F139),"",VLOOKUP('Список деталей'!F139,Справочник!$A$4:$D$11,4,0))</f>
        <v/>
      </c>
      <c r="G131" s="25" t="str">
        <f>IF(ISBLANK('Список деталей'!G139),"",VLOOKUP('Список деталей'!G139,Справочник!$A$4:$D$11,4,0))</f>
        <v/>
      </c>
      <c r="H131" s="25" t="str">
        <f>IF(ISBLANK('Список деталей'!H139),"",VLOOKUP('Список деталей'!H139,Справочник!$A$4:$D$11,4,0))</f>
        <v/>
      </c>
      <c r="I131" s="25" t="str">
        <f>IF(ISBLANK('Список деталей'!I139),"",VLOOKUP('Список деталей'!I139,Справочник!$A$4:$D$11,4,0))</f>
        <v/>
      </c>
      <c r="J131" s="24" t="str">
        <f>IF(ISBLANK('Список деталей'!K139),"",'Список деталей'!K139)</f>
        <v/>
      </c>
      <c r="K131" s="3" t="str">
        <f>IF(ISNUMBER('Список деталей'!C139), 'Список деталей'!$B$5,"")</f>
        <v/>
      </c>
      <c r="L131" s="3" t="str">
        <f>IF(ISNUMBER('Список деталей'!C139), 'Список деталей'!$I$4,"")</f>
        <v/>
      </c>
    </row>
    <row r="132" spans="1:12" x14ac:dyDescent="0.45">
      <c r="A132" s="3" t="str">
        <f>IF(ISBLANK('Список деталей'!C140),"",'Список деталей'!A140)</f>
        <v/>
      </c>
      <c r="B132" s="24" t="str">
        <f>IF(ISNUMBER('Список деталей'!C140), 'Список деталей'!C140, "")</f>
        <v/>
      </c>
      <c r="C132" s="24" t="str">
        <f>IF(ISNUMBER('Список деталей'!D140), 'Список деталей'!D140, "")</f>
        <v/>
      </c>
      <c r="D132" s="24" t="str">
        <f>IF(ISNUMBER('Список деталей'!E140), 'Список деталей'!E140, "")</f>
        <v/>
      </c>
      <c r="E132" s="24"/>
      <c r="F132" s="25" t="str">
        <f>IF(ISBLANK('Список деталей'!F140),"",VLOOKUP('Список деталей'!F140,Справочник!$A$4:$D$11,4,0))</f>
        <v/>
      </c>
      <c r="G132" s="25" t="str">
        <f>IF(ISBLANK('Список деталей'!G140),"",VLOOKUP('Список деталей'!G140,Справочник!$A$4:$D$11,4,0))</f>
        <v/>
      </c>
      <c r="H132" s="25" t="str">
        <f>IF(ISBLANK('Список деталей'!H140),"",VLOOKUP('Список деталей'!H140,Справочник!$A$4:$D$11,4,0))</f>
        <v/>
      </c>
      <c r="I132" s="25" t="str">
        <f>IF(ISBLANK('Список деталей'!I140),"",VLOOKUP('Список деталей'!I140,Справочник!$A$4:$D$11,4,0))</f>
        <v/>
      </c>
      <c r="J132" s="24" t="str">
        <f>IF(ISBLANK('Список деталей'!K140),"",'Список деталей'!K140)</f>
        <v/>
      </c>
      <c r="K132" s="3" t="str">
        <f>IF(ISNUMBER('Список деталей'!C140), 'Список деталей'!$B$5,"")</f>
        <v/>
      </c>
      <c r="L132" s="3" t="str">
        <f>IF(ISNUMBER('Список деталей'!C140), 'Список деталей'!$I$4,"")</f>
        <v/>
      </c>
    </row>
    <row r="133" spans="1:12" x14ac:dyDescent="0.45">
      <c r="A133" s="3" t="str">
        <f>IF(ISBLANK('Список деталей'!C141),"",'Список деталей'!A141)</f>
        <v/>
      </c>
      <c r="B133" s="24" t="str">
        <f>IF(ISNUMBER('Список деталей'!C141), 'Список деталей'!C141, "")</f>
        <v/>
      </c>
      <c r="C133" s="24" t="str">
        <f>IF(ISNUMBER('Список деталей'!D141), 'Список деталей'!D141, "")</f>
        <v/>
      </c>
      <c r="D133" s="24" t="str">
        <f>IF(ISNUMBER('Список деталей'!E141), 'Список деталей'!E141, "")</f>
        <v/>
      </c>
      <c r="E133" s="24"/>
      <c r="F133" s="25" t="str">
        <f>IF(ISBLANK('Список деталей'!F141),"",VLOOKUP('Список деталей'!F141,Справочник!$A$4:$D$11,4,0))</f>
        <v/>
      </c>
      <c r="G133" s="25" t="str">
        <f>IF(ISBLANK('Список деталей'!G141),"",VLOOKUP('Список деталей'!G141,Справочник!$A$4:$D$11,4,0))</f>
        <v/>
      </c>
      <c r="H133" s="25" t="str">
        <f>IF(ISBLANK('Список деталей'!H141),"",VLOOKUP('Список деталей'!H141,Справочник!$A$4:$D$11,4,0))</f>
        <v/>
      </c>
      <c r="I133" s="25" t="str">
        <f>IF(ISBLANK('Список деталей'!I141),"",VLOOKUP('Список деталей'!I141,Справочник!$A$4:$D$11,4,0))</f>
        <v/>
      </c>
      <c r="J133" s="24" t="str">
        <f>IF(ISBLANK('Список деталей'!K141),"",'Список деталей'!K141)</f>
        <v/>
      </c>
      <c r="K133" s="3" t="str">
        <f>IF(ISNUMBER('Список деталей'!C141), 'Список деталей'!$B$5,"")</f>
        <v/>
      </c>
      <c r="L133" s="3" t="str">
        <f>IF(ISNUMBER('Список деталей'!C141), 'Список деталей'!$I$4,"")</f>
        <v/>
      </c>
    </row>
    <row r="134" spans="1:12" x14ac:dyDescent="0.45">
      <c r="A134" s="3" t="str">
        <f>IF(ISBLANK('Список деталей'!C142),"",'Список деталей'!A142)</f>
        <v/>
      </c>
      <c r="B134" s="24" t="str">
        <f>IF(ISNUMBER('Список деталей'!C142), 'Список деталей'!C142, "")</f>
        <v/>
      </c>
      <c r="C134" s="24" t="str">
        <f>IF(ISNUMBER('Список деталей'!D142), 'Список деталей'!D142, "")</f>
        <v/>
      </c>
      <c r="D134" s="24" t="str">
        <f>IF(ISNUMBER('Список деталей'!E142), 'Список деталей'!E142, "")</f>
        <v/>
      </c>
      <c r="E134" s="24"/>
      <c r="F134" s="25" t="str">
        <f>IF(ISBLANK('Список деталей'!F142),"",VLOOKUP('Список деталей'!F142,Справочник!$A$4:$D$11,4,0))</f>
        <v/>
      </c>
      <c r="G134" s="25" t="str">
        <f>IF(ISBLANK('Список деталей'!G142),"",VLOOKUP('Список деталей'!G142,Справочник!$A$4:$D$11,4,0))</f>
        <v/>
      </c>
      <c r="H134" s="25" t="str">
        <f>IF(ISBLANK('Список деталей'!H142),"",VLOOKUP('Список деталей'!H142,Справочник!$A$4:$D$11,4,0))</f>
        <v/>
      </c>
      <c r="I134" s="25" t="str">
        <f>IF(ISBLANK('Список деталей'!I142),"",VLOOKUP('Список деталей'!I142,Справочник!$A$4:$D$11,4,0))</f>
        <v/>
      </c>
      <c r="J134" s="24" t="str">
        <f>IF(ISBLANK('Список деталей'!K142),"",'Список деталей'!K142)</f>
        <v/>
      </c>
      <c r="K134" s="3" t="str">
        <f>IF(ISNUMBER('Список деталей'!C142), 'Список деталей'!$B$5,"")</f>
        <v/>
      </c>
      <c r="L134" s="3" t="str">
        <f>IF(ISNUMBER('Список деталей'!C142), 'Список деталей'!$I$4,"")</f>
        <v/>
      </c>
    </row>
    <row r="135" spans="1:12" x14ac:dyDescent="0.45">
      <c r="A135" s="3" t="str">
        <f>IF(ISBLANK('Список деталей'!C143),"",'Список деталей'!A143)</f>
        <v/>
      </c>
      <c r="B135" s="24" t="str">
        <f>IF(ISNUMBER('Список деталей'!C143), 'Список деталей'!C143, "")</f>
        <v/>
      </c>
      <c r="C135" s="24" t="str">
        <f>IF(ISNUMBER('Список деталей'!D143), 'Список деталей'!D143, "")</f>
        <v/>
      </c>
      <c r="D135" s="24" t="str">
        <f>IF(ISNUMBER('Список деталей'!E143), 'Список деталей'!E143, "")</f>
        <v/>
      </c>
      <c r="E135" s="24"/>
      <c r="F135" s="25" t="str">
        <f>IF(ISBLANK('Список деталей'!F143),"",VLOOKUP('Список деталей'!F143,Справочник!$A$4:$D$11,4,0))</f>
        <v/>
      </c>
      <c r="G135" s="25" t="str">
        <f>IF(ISBLANK('Список деталей'!G143),"",VLOOKUP('Список деталей'!G143,Справочник!$A$4:$D$11,4,0))</f>
        <v/>
      </c>
      <c r="H135" s="25" t="str">
        <f>IF(ISBLANK('Список деталей'!H143),"",VLOOKUP('Список деталей'!H143,Справочник!$A$4:$D$11,4,0))</f>
        <v/>
      </c>
      <c r="I135" s="25" t="str">
        <f>IF(ISBLANK('Список деталей'!I143),"",VLOOKUP('Список деталей'!I143,Справочник!$A$4:$D$11,4,0))</f>
        <v/>
      </c>
      <c r="J135" s="24" t="str">
        <f>IF(ISBLANK('Список деталей'!K143),"",'Список деталей'!K143)</f>
        <v/>
      </c>
      <c r="K135" s="3" t="str">
        <f>IF(ISNUMBER('Список деталей'!C143), 'Список деталей'!$B$5,"")</f>
        <v/>
      </c>
      <c r="L135" s="3" t="str">
        <f>IF(ISNUMBER('Список деталей'!C143), 'Список деталей'!$I$4,"")</f>
        <v/>
      </c>
    </row>
    <row r="136" spans="1:12" x14ac:dyDescent="0.45">
      <c r="A136" s="3" t="str">
        <f>IF(ISBLANK('Список деталей'!C144),"",'Список деталей'!A144)</f>
        <v/>
      </c>
      <c r="B136" s="24" t="str">
        <f>IF(ISNUMBER('Список деталей'!C144), 'Список деталей'!C144, "")</f>
        <v/>
      </c>
      <c r="C136" s="24" t="str">
        <f>IF(ISNUMBER('Список деталей'!D144), 'Список деталей'!D144, "")</f>
        <v/>
      </c>
      <c r="D136" s="24" t="str">
        <f>IF(ISNUMBER('Список деталей'!E144), 'Список деталей'!E144, "")</f>
        <v/>
      </c>
      <c r="E136" s="24"/>
      <c r="F136" s="25" t="str">
        <f>IF(ISBLANK('Список деталей'!F144),"",VLOOKUP('Список деталей'!F144,Справочник!$A$4:$D$11,4,0))</f>
        <v/>
      </c>
      <c r="G136" s="25" t="str">
        <f>IF(ISBLANK('Список деталей'!G144),"",VLOOKUP('Список деталей'!G144,Справочник!$A$4:$D$11,4,0))</f>
        <v/>
      </c>
      <c r="H136" s="25" t="str">
        <f>IF(ISBLANK('Список деталей'!H144),"",VLOOKUP('Список деталей'!H144,Справочник!$A$4:$D$11,4,0))</f>
        <v/>
      </c>
      <c r="I136" s="25" t="str">
        <f>IF(ISBLANK('Список деталей'!I144),"",VLOOKUP('Список деталей'!I144,Справочник!$A$4:$D$11,4,0))</f>
        <v/>
      </c>
      <c r="J136" s="24" t="str">
        <f>IF(ISBLANK('Список деталей'!K144),"",'Список деталей'!K144)</f>
        <v/>
      </c>
      <c r="K136" s="3" t="str">
        <f>IF(ISNUMBER('Список деталей'!C144), 'Список деталей'!$B$5,"")</f>
        <v/>
      </c>
      <c r="L136" s="3" t="str">
        <f>IF(ISNUMBER('Список деталей'!C144), 'Список деталей'!$I$4,"")</f>
        <v/>
      </c>
    </row>
    <row r="137" spans="1:12" x14ac:dyDescent="0.45">
      <c r="A137" s="3" t="str">
        <f>IF(ISBLANK('Список деталей'!C145),"",'Список деталей'!A145)</f>
        <v/>
      </c>
      <c r="B137" s="24" t="str">
        <f>IF(ISNUMBER('Список деталей'!C145), 'Список деталей'!C145, "")</f>
        <v/>
      </c>
      <c r="C137" s="24" t="str">
        <f>IF(ISNUMBER('Список деталей'!D145), 'Список деталей'!D145, "")</f>
        <v/>
      </c>
      <c r="D137" s="24" t="str">
        <f>IF(ISNUMBER('Список деталей'!E145), 'Список деталей'!E145, "")</f>
        <v/>
      </c>
      <c r="E137" s="24"/>
      <c r="F137" s="25" t="str">
        <f>IF(ISBLANK('Список деталей'!F145),"",VLOOKUP('Список деталей'!F145,Справочник!$A$4:$D$11,4,0))</f>
        <v/>
      </c>
      <c r="G137" s="25" t="str">
        <f>IF(ISBLANK('Список деталей'!G145),"",VLOOKUP('Список деталей'!G145,Справочник!$A$4:$D$11,4,0))</f>
        <v/>
      </c>
      <c r="H137" s="25" t="str">
        <f>IF(ISBLANK('Список деталей'!H145),"",VLOOKUP('Список деталей'!H145,Справочник!$A$4:$D$11,4,0))</f>
        <v/>
      </c>
      <c r="I137" s="25" t="str">
        <f>IF(ISBLANK('Список деталей'!I145),"",VLOOKUP('Список деталей'!I145,Справочник!$A$4:$D$11,4,0))</f>
        <v/>
      </c>
      <c r="J137" s="24" t="str">
        <f>IF(ISBLANK('Список деталей'!K145),"",'Список деталей'!K145)</f>
        <v/>
      </c>
      <c r="K137" s="3" t="str">
        <f>IF(ISNUMBER('Список деталей'!C145), 'Список деталей'!$B$5,"")</f>
        <v/>
      </c>
      <c r="L137" s="3" t="str">
        <f>IF(ISNUMBER('Список деталей'!C145), 'Список деталей'!$I$4,"")</f>
        <v/>
      </c>
    </row>
    <row r="138" spans="1:12" x14ac:dyDescent="0.45">
      <c r="A138" s="3" t="str">
        <f>IF(ISBLANK('Список деталей'!C146),"",'Список деталей'!A146)</f>
        <v/>
      </c>
      <c r="B138" s="24" t="str">
        <f>IF(ISNUMBER('Список деталей'!C146), 'Список деталей'!C146, "")</f>
        <v/>
      </c>
      <c r="C138" s="24" t="str">
        <f>IF(ISNUMBER('Список деталей'!D146), 'Список деталей'!D146, "")</f>
        <v/>
      </c>
      <c r="D138" s="24" t="str">
        <f>IF(ISNUMBER('Список деталей'!E146), 'Список деталей'!E146, "")</f>
        <v/>
      </c>
      <c r="E138" s="24"/>
      <c r="F138" s="25" t="str">
        <f>IF(ISBLANK('Список деталей'!F146),"",VLOOKUP('Список деталей'!F146,Справочник!$A$4:$D$11,4,0))</f>
        <v/>
      </c>
      <c r="G138" s="25" t="str">
        <f>IF(ISBLANK('Список деталей'!G146),"",VLOOKUP('Список деталей'!G146,Справочник!$A$4:$D$11,4,0))</f>
        <v/>
      </c>
      <c r="H138" s="25" t="str">
        <f>IF(ISBLANK('Список деталей'!H146),"",VLOOKUP('Список деталей'!H146,Справочник!$A$4:$D$11,4,0))</f>
        <v/>
      </c>
      <c r="I138" s="25" t="str">
        <f>IF(ISBLANK('Список деталей'!I146),"",VLOOKUP('Список деталей'!I146,Справочник!$A$4:$D$11,4,0))</f>
        <v/>
      </c>
      <c r="J138" s="24" t="str">
        <f>IF(ISBLANK('Список деталей'!K146),"",'Список деталей'!K146)</f>
        <v/>
      </c>
      <c r="K138" s="3" t="str">
        <f>IF(ISNUMBER('Список деталей'!C146), 'Список деталей'!$B$5,"")</f>
        <v/>
      </c>
      <c r="L138" s="3" t="str">
        <f>IF(ISNUMBER('Список деталей'!C146), 'Список деталей'!$I$4,"")</f>
        <v/>
      </c>
    </row>
    <row r="139" spans="1:12" x14ac:dyDescent="0.45">
      <c r="A139" s="3" t="str">
        <f>IF(ISBLANK('Список деталей'!C147),"",'Список деталей'!A147)</f>
        <v/>
      </c>
      <c r="B139" s="24" t="str">
        <f>IF(ISNUMBER('Список деталей'!C147), 'Список деталей'!C147, "")</f>
        <v/>
      </c>
      <c r="C139" s="24" t="str">
        <f>IF(ISNUMBER('Список деталей'!D147), 'Список деталей'!D147, "")</f>
        <v/>
      </c>
      <c r="D139" s="24" t="str">
        <f>IF(ISNUMBER('Список деталей'!E147), 'Список деталей'!E147, "")</f>
        <v/>
      </c>
      <c r="E139" s="24"/>
      <c r="F139" s="25" t="str">
        <f>IF(ISBLANK('Список деталей'!F147),"",VLOOKUP('Список деталей'!F147,Справочник!$A$4:$D$11,4,0))</f>
        <v/>
      </c>
      <c r="G139" s="25" t="str">
        <f>IF(ISBLANK('Список деталей'!G147),"",VLOOKUP('Список деталей'!G147,Справочник!$A$4:$D$11,4,0))</f>
        <v/>
      </c>
      <c r="H139" s="25" t="str">
        <f>IF(ISBLANK('Список деталей'!H147),"",VLOOKUP('Список деталей'!H147,Справочник!$A$4:$D$11,4,0))</f>
        <v/>
      </c>
      <c r="I139" s="25" t="str">
        <f>IF(ISBLANK('Список деталей'!I147),"",VLOOKUP('Список деталей'!I147,Справочник!$A$4:$D$11,4,0))</f>
        <v/>
      </c>
      <c r="J139" s="24" t="str">
        <f>IF(ISBLANK('Список деталей'!K147),"",'Список деталей'!K147)</f>
        <v/>
      </c>
      <c r="K139" s="3" t="str">
        <f>IF(ISNUMBER('Список деталей'!C147), 'Список деталей'!$B$5,"")</f>
        <v/>
      </c>
      <c r="L139" s="3" t="str">
        <f>IF(ISNUMBER('Список деталей'!C147), 'Список деталей'!$I$4,"")</f>
        <v/>
      </c>
    </row>
    <row r="140" spans="1:12" x14ac:dyDescent="0.45">
      <c r="A140" s="3" t="str">
        <f>IF(ISBLANK('Список деталей'!C148),"",'Список деталей'!A148)</f>
        <v/>
      </c>
      <c r="B140" s="24" t="str">
        <f>IF(ISNUMBER('Список деталей'!C148), 'Список деталей'!C148, "")</f>
        <v/>
      </c>
      <c r="C140" s="24" t="str">
        <f>IF(ISNUMBER('Список деталей'!D148), 'Список деталей'!D148, "")</f>
        <v/>
      </c>
      <c r="D140" s="24" t="str">
        <f>IF(ISNUMBER('Список деталей'!E148), 'Список деталей'!E148, "")</f>
        <v/>
      </c>
      <c r="E140" s="24"/>
      <c r="F140" s="25" t="str">
        <f>IF(ISBLANK('Список деталей'!F148),"",VLOOKUP('Список деталей'!F148,Справочник!$A$4:$D$11,4,0))</f>
        <v/>
      </c>
      <c r="G140" s="25" t="str">
        <f>IF(ISBLANK('Список деталей'!G148),"",VLOOKUP('Список деталей'!G148,Справочник!$A$4:$D$11,4,0))</f>
        <v/>
      </c>
      <c r="H140" s="25" t="str">
        <f>IF(ISBLANK('Список деталей'!H148),"",VLOOKUP('Список деталей'!H148,Справочник!$A$4:$D$11,4,0))</f>
        <v/>
      </c>
      <c r="I140" s="25" t="str">
        <f>IF(ISBLANK('Список деталей'!I148),"",VLOOKUP('Список деталей'!I148,Справочник!$A$4:$D$11,4,0))</f>
        <v/>
      </c>
      <c r="J140" s="24" t="str">
        <f>IF(ISBLANK('Список деталей'!K148),"",'Список деталей'!K148)</f>
        <v/>
      </c>
      <c r="K140" s="3" t="str">
        <f>IF(ISNUMBER('Список деталей'!C148), 'Список деталей'!$B$5,"")</f>
        <v/>
      </c>
      <c r="L140" s="3" t="str">
        <f>IF(ISNUMBER('Список деталей'!C148), 'Список деталей'!$I$4,"")</f>
        <v/>
      </c>
    </row>
    <row r="141" spans="1:12" x14ac:dyDescent="0.45">
      <c r="A141" s="3" t="str">
        <f>IF(ISBLANK('Список деталей'!C149),"",'Список деталей'!A149)</f>
        <v/>
      </c>
      <c r="B141" s="24" t="str">
        <f>IF(ISNUMBER('Список деталей'!C149), 'Список деталей'!C149, "")</f>
        <v/>
      </c>
      <c r="C141" s="24" t="str">
        <f>IF(ISNUMBER('Список деталей'!D149), 'Список деталей'!D149, "")</f>
        <v/>
      </c>
      <c r="D141" s="24" t="str">
        <f>IF(ISNUMBER('Список деталей'!E149), 'Список деталей'!E149, "")</f>
        <v/>
      </c>
      <c r="E141" s="24"/>
      <c r="F141" s="25" t="str">
        <f>IF(ISBLANK('Список деталей'!F149),"",VLOOKUP('Список деталей'!F149,Справочник!$A$4:$D$11,4,0))</f>
        <v/>
      </c>
      <c r="G141" s="25" t="str">
        <f>IF(ISBLANK('Список деталей'!G149),"",VLOOKUP('Список деталей'!G149,Справочник!$A$4:$D$11,4,0))</f>
        <v/>
      </c>
      <c r="H141" s="25" t="str">
        <f>IF(ISBLANK('Список деталей'!H149),"",VLOOKUP('Список деталей'!H149,Справочник!$A$4:$D$11,4,0))</f>
        <v/>
      </c>
      <c r="I141" s="25" t="str">
        <f>IF(ISBLANK('Список деталей'!I149),"",VLOOKUP('Список деталей'!I149,Справочник!$A$4:$D$11,4,0))</f>
        <v/>
      </c>
      <c r="J141" s="24" t="str">
        <f>IF(ISBLANK('Список деталей'!K149),"",'Список деталей'!K149)</f>
        <v/>
      </c>
      <c r="K141" s="3" t="str">
        <f>IF(ISNUMBER('Список деталей'!C149), 'Список деталей'!$B$5,"")</f>
        <v/>
      </c>
      <c r="L141" s="3" t="str">
        <f>IF(ISNUMBER('Список деталей'!C149), 'Список деталей'!$I$4,"")</f>
        <v/>
      </c>
    </row>
    <row r="142" spans="1:12" x14ac:dyDescent="0.45">
      <c r="A142" s="3" t="str">
        <f>IF(ISBLANK('Список деталей'!C150),"",'Список деталей'!A150)</f>
        <v/>
      </c>
      <c r="B142" s="24" t="str">
        <f>IF(ISNUMBER('Список деталей'!C150), 'Список деталей'!C150, "")</f>
        <v/>
      </c>
      <c r="C142" s="24" t="str">
        <f>IF(ISNUMBER('Список деталей'!D150), 'Список деталей'!D150, "")</f>
        <v/>
      </c>
      <c r="D142" s="24" t="str">
        <f>IF(ISNUMBER('Список деталей'!E150), 'Список деталей'!E150, "")</f>
        <v/>
      </c>
      <c r="E142" s="24"/>
      <c r="F142" s="25" t="str">
        <f>IF(ISBLANK('Список деталей'!F150),"",VLOOKUP('Список деталей'!F150,Справочник!$A$4:$D$11,4,0))</f>
        <v/>
      </c>
      <c r="G142" s="25" t="str">
        <f>IF(ISBLANK('Список деталей'!G150),"",VLOOKUP('Список деталей'!G150,Справочник!$A$4:$D$11,4,0))</f>
        <v/>
      </c>
      <c r="H142" s="25" t="str">
        <f>IF(ISBLANK('Список деталей'!H150),"",VLOOKUP('Список деталей'!H150,Справочник!$A$4:$D$11,4,0))</f>
        <v/>
      </c>
      <c r="I142" s="25" t="str">
        <f>IF(ISBLANK('Список деталей'!I150),"",VLOOKUP('Список деталей'!I150,Справочник!$A$4:$D$11,4,0))</f>
        <v/>
      </c>
      <c r="J142" s="24" t="str">
        <f>IF(ISBLANK('Список деталей'!K150),"",'Список деталей'!K150)</f>
        <v/>
      </c>
      <c r="K142" s="3" t="str">
        <f>IF(ISNUMBER('Список деталей'!C150), 'Список деталей'!$B$5,"")</f>
        <v/>
      </c>
      <c r="L142" s="3" t="str">
        <f>IF(ISNUMBER('Список деталей'!C150), 'Список деталей'!$I$4,"")</f>
        <v/>
      </c>
    </row>
    <row r="143" spans="1:12" x14ac:dyDescent="0.45">
      <c r="A143" s="3" t="str">
        <f>IF(ISBLANK('Список деталей'!C151),"",'Список деталей'!A151)</f>
        <v/>
      </c>
      <c r="B143" s="24" t="str">
        <f>IF(ISNUMBER('Список деталей'!C151), 'Список деталей'!C151, "")</f>
        <v/>
      </c>
      <c r="C143" s="24" t="str">
        <f>IF(ISNUMBER('Список деталей'!D151), 'Список деталей'!D151, "")</f>
        <v/>
      </c>
      <c r="D143" s="24" t="str">
        <f>IF(ISNUMBER('Список деталей'!E151), 'Список деталей'!E151, "")</f>
        <v/>
      </c>
      <c r="E143" s="24"/>
      <c r="F143" s="25" t="str">
        <f>IF(ISBLANK('Список деталей'!F151),"",VLOOKUP('Список деталей'!F151,Справочник!$A$4:$D$11,4,0))</f>
        <v/>
      </c>
      <c r="G143" s="25" t="str">
        <f>IF(ISBLANK('Список деталей'!G151),"",VLOOKUP('Список деталей'!G151,Справочник!$A$4:$D$11,4,0))</f>
        <v/>
      </c>
      <c r="H143" s="25" t="str">
        <f>IF(ISBLANK('Список деталей'!H151),"",VLOOKUP('Список деталей'!H151,Справочник!$A$4:$D$11,4,0))</f>
        <v/>
      </c>
      <c r="I143" s="25" t="str">
        <f>IF(ISBLANK('Список деталей'!I151),"",VLOOKUP('Список деталей'!I151,Справочник!$A$4:$D$11,4,0))</f>
        <v/>
      </c>
      <c r="J143" s="24" t="str">
        <f>IF(ISBLANK('Список деталей'!K151),"",'Список деталей'!K151)</f>
        <v/>
      </c>
      <c r="K143" s="3" t="str">
        <f>IF(ISNUMBER('Список деталей'!C151), 'Список деталей'!$B$5,"")</f>
        <v/>
      </c>
      <c r="L143" s="3" t="str">
        <f>IF(ISNUMBER('Список деталей'!C151), 'Список деталей'!$I$4,"")</f>
        <v/>
      </c>
    </row>
    <row r="144" spans="1:12" x14ac:dyDescent="0.45">
      <c r="A144" s="3" t="str">
        <f>IF(ISBLANK('Список деталей'!C152),"",'Список деталей'!A152)</f>
        <v/>
      </c>
      <c r="B144" s="24" t="str">
        <f>IF(ISNUMBER('Список деталей'!C152), 'Список деталей'!C152, "")</f>
        <v/>
      </c>
      <c r="C144" s="24" t="str">
        <f>IF(ISNUMBER('Список деталей'!D152), 'Список деталей'!D152, "")</f>
        <v/>
      </c>
      <c r="D144" s="24" t="str">
        <f>IF(ISNUMBER('Список деталей'!E152), 'Список деталей'!E152, "")</f>
        <v/>
      </c>
      <c r="E144" s="24"/>
      <c r="F144" s="25" t="str">
        <f>IF(ISBLANK('Список деталей'!F152),"",VLOOKUP('Список деталей'!F152,Справочник!$A$4:$D$11,4,0))</f>
        <v/>
      </c>
      <c r="G144" s="25" t="str">
        <f>IF(ISBLANK('Список деталей'!G152),"",VLOOKUP('Список деталей'!G152,Справочник!$A$4:$D$11,4,0))</f>
        <v/>
      </c>
      <c r="H144" s="25" t="str">
        <f>IF(ISBLANK('Список деталей'!H152),"",VLOOKUP('Список деталей'!H152,Справочник!$A$4:$D$11,4,0))</f>
        <v/>
      </c>
      <c r="I144" s="25" t="str">
        <f>IF(ISBLANK('Список деталей'!I152),"",VLOOKUP('Список деталей'!I152,Справочник!$A$4:$D$11,4,0))</f>
        <v/>
      </c>
      <c r="J144" s="24" t="str">
        <f>IF(ISBLANK('Список деталей'!K152),"",'Список деталей'!K152)</f>
        <v/>
      </c>
      <c r="K144" s="3" t="str">
        <f>IF(ISNUMBER('Список деталей'!C152), 'Список деталей'!$B$5,"")</f>
        <v/>
      </c>
      <c r="L144" s="3" t="str">
        <f>IF(ISNUMBER('Список деталей'!C152), 'Список деталей'!$I$4,"")</f>
        <v/>
      </c>
    </row>
    <row r="145" spans="1:12" x14ac:dyDescent="0.45">
      <c r="A145" s="3" t="str">
        <f>IF(ISBLANK('Список деталей'!C153),"",'Список деталей'!A153)</f>
        <v/>
      </c>
      <c r="B145" s="24" t="str">
        <f>IF(ISNUMBER('Список деталей'!C153), 'Список деталей'!C153, "")</f>
        <v/>
      </c>
      <c r="C145" s="24" t="str">
        <f>IF(ISNUMBER('Список деталей'!D153), 'Список деталей'!D153, "")</f>
        <v/>
      </c>
      <c r="D145" s="24" t="str">
        <f>IF(ISNUMBER('Список деталей'!E153), 'Список деталей'!E153, "")</f>
        <v/>
      </c>
      <c r="E145" s="24"/>
      <c r="F145" s="25" t="str">
        <f>IF(ISBLANK('Список деталей'!F153),"",VLOOKUP('Список деталей'!F153,Справочник!$A$4:$D$11,4,0))</f>
        <v/>
      </c>
      <c r="G145" s="25" t="str">
        <f>IF(ISBLANK('Список деталей'!G153),"",VLOOKUP('Список деталей'!G153,Справочник!$A$4:$D$11,4,0))</f>
        <v/>
      </c>
      <c r="H145" s="25" t="str">
        <f>IF(ISBLANK('Список деталей'!H153),"",VLOOKUP('Список деталей'!H153,Справочник!$A$4:$D$11,4,0))</f>
        <v/>
      </c>
      <c r="I145" s="25" t="str">
        <f>IF(ISBLANK('Список деталей'!I153),"",VLOOKUP('Список деталей'!I153,Справочник!$A$4:$D$11,4,0))</f>
        <v/>
      </c>
      <c r="J145" s="24" t="str">
        <f>IF(ISBLANK('Список деталей'!K153),"",'Список деталей'!K153)</f>
        <v/>
      </c>
      <c r="K145" s="3" t="str">
        <f>IF(ISNUMBER('Список деталей'!C153), 'Список деталей'!$B$5,"")</f>
        <v/>
      </c>
      <c r="L145" s="3" t="str">
        <f>IF(ISNUMBER('Список деталей'!C153), 'Список деталей'!$I$4,"")</f>
        <v/>
      </c>
    </row>
    <row r="146" spans="1:12" x14ac:dyDescent="0.45">
      <c r="A146" s="3" t="str">
        <f>IF(ISBLANK('Список деталей'!C154),"",'Список деталей'!A154)</f>
        <v/>
      </c>
      <c r="B146" s="24" t="str">
        <f>IF(ISNUMBER('Список деталей'!C154), 'Список деталей'!C154, "")</f>
        <v/>
      </c>
      <c r="C146" s="24" t="str">
        <f>IF(ISNUMBER('Список деталей'!D154), 'Список деталей'!D154, "")</f>
        <v/>
      </c>
      <c r="D146" s="24" t="str">
        <f>IF(ISNUMBER('Список деталей'!E154), 'Список деталей'!E154, "")</f>
        <v/>
      </c>
      <c r="E146" s="24"/>
      <c r="F146" s="25" t="str">
        <f>IF(ISBLANK('Список деталей'!F154),"",VLOOKUP('Список деталей'!F154,Справочник!$A$4:$D$11,4,0))</f>
        <v/>
      </c>
      <c r="G146" s="25" t="str">
        <f>IF(ISBLANK('Список деталей'!G154),"",VLOOKUP('Список деталей'!G154,Справочник!$A$4:$D$11,4,0))</f>
        <v/>
      </c>
      <c r="H146" s="25" t="str">
        <f>IF(ISBLANK('Список деталей'!H154),"",VLOOKUP('Список деталей'!H154,Справочник!$A$4:$D$11,4,0))</f>
        <v/>
      </c>
      <c r="I146" s="25" t="str">
        <f>IF(ISBLANK('Список деталей'!I154),"",VLOOKUP('Список деталей'!I154,Справочник!$A$4:$D$11,4,0))</f>
        <v/>
      </c>
      <c r="J146" s="24" t="str">
        <f>IF(ISBLANK('Список деталей'!K154),"",'Список деталей'!K154)</f>
        <v/>
      </c>
      <c r="K146" s="3" t="str">
        <f>IF(ISNUMBER('Список деталей'!C154), 'Список деталей'!$B$5,"")</f>
        <v/>
      </c>
      <c r="L146" s="3" t="str">
        <f>IF(ISNUMBER('Список деталей'!C154), 'Список деталей'!$I$4,"")</f>
        <v/>
      </c>
    </row>
    <row r="147" spans="1:12" x14ac:dyDescent="0.45">
      <c r="A147" s="3" t="str">
        <f>IF(ISBLANK('Список деталей'!C155),"",'Список деталей'!A155)</f>
        <v/>
      </c>
      <c r="B147" s="24" t="str">
        <f>IF(ISNUMBER('Список деталей'!C155), 'Список деталей'!C155, "")</f>
        <v/>
      </c>
      <c r="C147" s="24" t="str">
        <f>IF(ISNUMBER('Список деталей'!D155), 'Список деталей'!D155, "")</f>
        <v/>
      </c>
      <c r="D147" s="24" t="str">
        <f>IF(ISNUMBER('Список деталей'!E155), 'Список деталей'!E155, "")</f>
        <v/>
      </c>
      <c r="E147" s="24"/>
      <c r="F147" s="25" t="str">
        <f>IF(ISBLANK('Список деталей'!F155),"",VLOOKUP('Список деталей'!F155,Справочник!$A$4:$D$11,4,0))</f>
        <v/>
      </c>
      <c r="G147" s="25" t="str">
        <f>IF(ISBLANK('Список деталей'!G155),"",VLOOKUP('Список деталей'!G155,Справочник!$A$4:$D$11,4,0))</f>
        <v/>
      </c>
      <c r="H147" s="25" t="str">
        <f>IF(ISBLANK('Список деталей'!H155),"",VLOOKUP('Список деталей'!H155,Справочник!$A$4:$D$11,4,0))</f>
        <v/>
      </c>
      <c r="I147" s="25" t="str">
        <f>IF(ISBLANK('Список деталей'!I155),"",VLOOKUP('Список деталей'!I155,Справочник!$A$4:$D$11,4,0))</f>
        <v/>
      </c>
      <c r="J147" s="24" t="str">
        <f>IF(ISBLANK('Список деталей'!K155),"",'Список деталей'!K155)</f>
        <v/>
      </c>
      <c r="K147" s="3" t="str">
        <f>IF(ISNUMBER('Список деталей'!C155), 'Список деталей'!$B$5,"")</f>
        <v/>
      </c>
      <c r="L147" s="3" t="str">
        <f>IF(ISNUMBER('Список деталей'!C155), 'Список деталей'!$I$4,"")</f>
        <v/>
      </c>
    </row>
    <row r="148" spans="1:12" x14ac:dyDescent="0.45">
      <c r="A148" s="3" t="str">
        <f>IF(ISBLANK('Список деталей'!C156),"",'Список деталей'!A156)</f>
        <v/>
      </c>
      <c r="B148" s="24" t="str">
        <f>IF(ISNUMBER('Список деталей'!C156), 'Список деталей'!C156, "")</f>
        <v/>
      </c>
      <c r="C148" s="24" t="str">
        <f>IF(ISNUMBER('Список деталей'!D156), 'Список деталей'!D156, "")</f>
        <v/>
      </c>
      <c r="D148" s="24" t="str">
        <f>IF(ISNUMBER('Список деталей'!E156), 'Список деталей'!E156, "")</f>
        <v/>
      </c>
      <c r="E148" s="24"/>
      <c r="F148" s="25" t="str">
        <f>IF(ISBLANK('Список деталей'!F156),"",VLOOKUP('Список деталей'!F156,Справочник!$A$4:$D$11,4,0))</f>
        <v/>
      </c>
      <c r="G148" s="25" t="str">
        <f>IF(ISBLANK('Список деталей'!G156),"",VLOOKUP('Список деталей'!G156,Справочник!$A$4:$D$11,4,0))</f>
        <v/>
      </c>
      <c r="H148" s="25" t="str">
        <f>IF(ISBLANK('Список деталей'!H156),"",VLOOKUP('Список деталей'!H156,Справочник!$A$4:$D$11,4,0))</f>
        <v/>
      </c>
      <c r="I148" s="25" t="str">
        <f>IF(ISBLANK('Список деталей'!I156),"",VLOOKUP('Список деталей'!I156,Справочник!$A$4:$D$11,4,0))</f>
        <v/>
      </c>
      <c r="J148" s="24" t="str">
        <f>IF(ISBLANK('Список деталей'!K156),"",'Список деталей'!K156)</f>
        <v/>
      </c>
      <c r="K148" s="3" t="str">
        <f>IF(ISNUMBER('Список деталей'!C156), 'Список деталей'!$B$5,"")</f>
        <v/>
      </c>
      <c r="L148" s="3" t="str">
        <f>IF(ISNUMBER('Список деталей'!C156), 'Список деталей'!$I$4,"")</f>
        <v/>
      </c>
    </row>
    <row r="149" spans="1:12" x14ac:dyDescent="0.45">
      <c r="A149" s="3" t="str">
        <f>IF(ISBLANK('Список деталей'!C157),"",'Список деталей'!A157)</f>
        <v/>
      </c>
      <c r="B149" s="24" t="str">
        <f>IF(ISNUMBER('Список деталей'!C157), 'Список деталей'!C157, "")</f>
        <v/>
      </c>
      <c r="C149" s="24" t="str">
        <f>IF(ISNUMBER('Список деталей'!D157), 'Список деталей'!D157, "")</f>
        <v/>
      </c>
      <c r="D149" s="24" t="str">
        <f>IF(ISNUMBER('Список деталей'!E157), 'Список деталей'!E157, "")</f>
        <v/>
      </c>
      <c r="E149" s="24"/>
      <c r="F149" s="25" t="str">
        <f>IF(ISBLANK('Список деталей'!F157),"",VLOOKUP('Список деталей'!F157,Справочник!$A$4:$D$11,4,0))</f>
        <v/>
      </c>
      <c r="G149" s="25" t="str">
        <f>IF(ISBLANK('Список деталей'!G157),"",VLOOKUP('Список деталей'!G157,Справочник!$A$4:$D$11,4,0))</f>
        <v/>
      </c>
      <c r="H149" s="25" t="str">
        <f>IF(ISBLANK('Список деталей'!H157),"",VLOOKUP('Список деталей'!H157,Справочник!$A$4:$D$11,4,0))</f>
        <v/>
      </c>
      <c r="I149" s="25" t="str">
        <f>IF(ISBLANK('Список деталей'!I157),"",VLOOKUP('Список деталей'!I157,Справочник!$A$4:$D$11,4,0))</f>
        <v/>
      </c>
      <c r="J149" s="24" t="str">
        <f>IF(ISBLANK('Список деталей'!K157),"",'Список деталей'!K157)</f>
        <v/>
      </c>
      <c r="K149" s="3" t="str">
        <f>IF(ISNUMBER('Список деталей'!C157), 'Список деталей'!$B$5,"")</f>
        <v/>
      </c>
      <c r="L149" s="3" t="str">
        <f>IF(ISNUMBER('Список деталей'!C157), 'Список деталей'!$I$4,"")</f>
        <v/>
      </c>
    </row>
    <row r="150" spans="1:12" x14ac:dyDescent="0.45">
      <c r="A150" s="3" t="str">
        <f>IF(ISBLANK('Список деталей'!C158),"",'Список деталей'!A158)</f>
        <v/>
      </c>
      <c r="B150" s="24" t="str">
        <f>IF(ISNUMBER('Список деталей'!C158), 'Список деталей'!C158, "")</f>
        <v/>
      </c>
      <c r="C150" s="24" t="str">
        <f>IF(ISNUMBER('Список деталей'!D158), 'Список деталей'!D158, "")</f>
        <v/>
      </c>
      <c r="D150" s="24" t="str">
        <f>IF(ISNUMBER('Список деталей'!E158), 'Список деталей'!E158, "")</f>
        <v/>
      </c>
      <c r="E150" s="24"/>
      <c r="F150" s="25" t="str">
        <f>IF(ISBLANK('Список деталей'!F158),"",VLOOKUP('Список деталей'!F158,Справочник!$A$4:$D$11,4,0))</f>
        <v/>
      </c>
      <c r="G150" s="25" t="str">
        <f>IF(ISBLANK('Список деталей'!G158),"",VLOOKUP('Список деталей'!G158,Справочник!$A$4:$D$11,4,0))</f>
        <v/>
      </c>
      <c r="H150" s="25" t="str">
        <f>IF(ISBLANK('Список деталей'!H158),"",VLOOKUP('Список деталей'!H158,Справочник!$A$4:$D$11,4,0))</f>
        <v/>
      </c>
      <c r="I150" s="25" t="str">
        <f>IF(ISBLANK('Список деталей'!I158),"",VLOOKUP('Список деталей'!I158,Справочник!$A$4:$D$11,4,0))</f>
        <v/>
      </c>
      <c r="J150" s="24" t="str">
        <f>IF(ISBLANK('Список деталей'!K158),"",'Список деталей'!K158)</f>
        <v/>
      </c>
      <c r="K150" s="3" t="str">
        <f>IF(ISNUMBER('Список деталей'!C158), 'Список деталей'!$B$5,"")</f>
        <v/>
      </c>
      <c r="L150" s="3" t="str">
        <f>IF(ISNUMBER('Список деталей'!C158), 'Список деталей'!$I$4,"")</f>
        <v/>
      </c>
    </row>
    <row r="151" spans="1:12" x14ac:dyDescent="0.45">
      <c r="A151" s="3" t="str">
        <f>IF(ISBLANK('Список деталей'!C159),"",'Список деталей'!A159)</f>
        <v/>
      </c>
      <c r="B151" s="24" t="str">
        <f>IF(ISNUMBER('Список деталей'!C159), 'Список деталей'!C159, "")</f>
        <v/>
      </c>
      <c r="C151" s="24" t="str">
        <f>IF(ISNUMBER('Список деталей'!D159), 'Список деталей'!D159, "")</f>
        <v/>
      </c>
      <c r="D151" s="24" t="str">
        <f>IF(ISNUMBER('Список деталей'!E159), 'Список деталей'!E159, "")</f>
        <v/>
      </c>
      <c r="E151" s="24"/>
      <c r="F151" s="25" t="str">
        <f>IF(ISBLANK('Список деталей'!F159),"",VLOOKUP('Список деталей'!F159,Справочник!$A$4:$D$11,4,0))</f>
        <v/>
      </c>
      <c r="G151" s="25" t="str">
        <f>IF(ISBLANK('Список деталей'!G159),"",VLOOKUP('Список деталей'!G159,Справочник!$A$4:$D$11,4,0))</f>
        <v/>
      </c>
      <c r="H151" s="25" t="str">
        <f>IF(ISBLANK('Список деталей'!H159),"",VLOOKUP('Список деталей'!H159,Справочник!$A$4:$D$11,4,0))</f>
        <v/>
      </c>
      <c r="I151" s="25" t="str">
        <f>IF(ISBLANK('Список деталей'!I159),"",VLOOKUP('Список деталей'!I159,Справочник!$A$4:$D$11,4,0))</f>
        <v/>
      </c>
      <c r="J151" s="24" t="str">
        <f>IF(ISBLANK('Список деталей'!K159),"",'Список деталей'!K159)</f>
        <v/>
      </c>
      <c r="K151" s="3" t="str">
        <f>IF(ISNUMBER('Список деталей'!C159), 'Список деталей'!$B$5,"")</f>
        <v/>
      </c>
      <c r="L151" s="3" t="str">
        <f>IF(ISNUMBER('Список деталей'!C159), 'Список деталей'!$I$4,"")</f>
        <v/>
      </c>
    </row>
    <row r="152" spans="1:12" x14ac:dyDescent="0.45">
      <c r="A152" s="3" t="str">
        <f>IF(ISBLANK('Список деталей'!C160),"",'Список деталей'!A160)</f>
        <v/>
      </c>
      <c r="B152" s="24" t="str">
        <f>IF(ISNUMBER('Список деталей'!C160), 'Список деталей'!C160, "")</f>
        <v/>
      </c>
      <c r="C152" s="24" t="str">
        <f>IF(ISNUMBER('Список деталей'!D160), 'Список деталей'!D160, "")</f>
        <v/>
      </c>
      <c r="D152" s="24" t="str">
        <f>IF(ISNUMBER('Список деталей'!E160), 'Список деталей'!E160, "")</f>
        <v/>
      </c>
      <c r="E152" s="24"/>
      <c r="F152" s="25" t="str">
        <f>IF(ISBLANK('Список деталей'!F160),"",VLOOKUP('Список деталей'!F160,Справочник!$A$4:$D$11,4,0))</f>
        <v/>
      </c>
      <c r="G152" s="25" t="str">
        <f>IF(ISBLANK('Список деталей'!G160),"",VLOOKUP('Список деталей'!G160,Справочник!$A$4:$D$11,4,0))</f>
        <v/>
      </c>
      <c r="H152" s="25" t="str">
        <f>IF(ISBLANK('Список деталей'!H160),"",VLOOKUP('Список деталей'!H160,Справочник!$A$4:$D$11,4,0))</f>
        <v/>
      </c>
      <c r="I152" s="25" t="str">
        <f>IF(ISBLANK('Список деталей'!I160),"",VLOOKUP('Список деталей'!I160,Справочник!$A$4:$D$11,4,0))</f>
        <v/>
      </c>
      <c r="J152" s="24" t="str">
        <f>IF(ISBLANK('Список деталей'!K160),"",'Список деталей'!K160)</f>
        <v/>
      </c>
      <c r="K152" s="3" t="str">
        <f>IF(ISNUMBER('Список деталей'!C160), 'Список деталей'!$B$5,"")</f>
        <v/>
      </c>
      <c r="L152" s="3" t="str">
        <f>IF(ISNUMBER('Список деталей'!C160), 'Список деталей'!$I$4,"")</f>
        <v/>
      </c>
    </row>
    <row r="153" spans="1:12" x14ac:dyDescent="0.45">
      <c r="A153" s="3" t="str">
        <f>IF(ISBLANK('Список деталей'!C161),"",'Список деталей'!A161)</f>
        <v/>
      </c>
      <c r="B153" s="24" t="str">
        <f>IF(ISNUMBER('Список деталей'!C161), 'Список деталей'!C161, "")</f>
        <v/>
      </c>
      <c r="C153" s="24" t="str">
        <f>IF(ISNUMBER('Список деталей'!D161), 'Список деталей'!D161, "")</f>
        <v/>
      </c>
      <c r="D153" s="24" t="str">
        <f>IF(ISNUMBER('Список деталей'!E161), 'Список деталей'!E161, "")</f>
        <v/>
      </c>
      <c r="E153" s="24"/>
      <c r="F153" s="25" t="str">
        <f>IF(ISBLANK('Список деталей'!F161),"",VLOOKUP('Список деталей'!F161,Справочник!$A$4:$D$11,4,0))</f>
        <v/>
      </c>
      <c r="G153" s="25" t="str">
        <f>IF(ISBLANK('Список деталей'!G161),"",VLOOKUP('Список деталей'!G161,Справочник!$A$4:$D$11,4,0))</f>
        <v/>
      </c>
      <c r="H153" s="25" t="str">
        <f>IF(ISBLANK('Список деталей'!H161),"",VLOOKUP('Список деталей'!H161,Справочник!$A$4:$D$11,4,0))</f>
        <v/>
      </c>
      <c r="I153" s="25" t="str">
        <f>IF(ISBLANK('Список деталей'!I161),"",VLOOKUP('Список деталей'!I161,Справочник!$A$4:$D$11,4,0))</f>
        <v/>
      </c>
      <c r="J153" s="24" t="str">
        <f>IF(ISBLANK('Список деталей'!K161),"",'Список деталей'!K161)</f>
        <v/>
      </c>
      <c r="K153" s="3" t="str">
        <f>IF(ISNUMBER('Список деталей'!C161), 'Список деталей'!$B$5,"")</f>
        <v/>
      </c>
      <c r="L153" s="3" t="str">
        <f>IF(ISNUMBER('Список деталей'!C161), 'Список деталей'!$I$4,"")</f>
        <v/>
      </c>
    </row>
    <row r="154" spans="1:12" x14ac:dyDescent="0.45">
      <c r="A154" s="3" t="str">
        <f>IF(ISBLANK('Список деталей'!C162),"",'Список деталей'!A162)</f>
        <v/>
      </c>
      <c r="B154" s="24" t="str">
        <f>IF(ISNUMBER('Список деталей'!C162), 'Список деталей'!C162, "")</f>
        <v/>
      </c>
      <c r="C154" s="24" t="str">
        <f>IF(ISNUMBER('Список деталей'!D162), 'Список деталей'!D162, "")</f>
        <v/>
      </c>
      <c r="D154" s="24" t="str">
        <f>IF(ISNUMBER('Список деталей'!E162), 'Список деталей'!E162, "")</f>
        <v/>
      </c>
      <c r="E154" s="24"/>
      <c r="F154" s="25" t="str">
        <f>IF(ISBLANK('Список деталей'!F162),"",VLOOKUP('Список деталей'!F162,Справочник!$A$4:$D$11,4,0))</f>
        <v/>
      </c>
      <c r="G154" s="25" t="str">
        <f>IF(ISBLANK('Список деталей'!G162),"",VLOOKUP('Список деталей'!G162,Справочник!$A$4:$D$11,4,0))</f>
        <v/>
      </c>
      <c r="H154" s="25" t="str">
        <f>IF(ISBLANK('Список деталей'!H162),"",VLOOKUP('Список деталей'!H162,Справочник!$A$4:$D$11,4,0))</f>
        <v/>
      </c>
      <c r="I154" s="25" t="str">
        <f>IF(ISBLANK('Список деталей'!I162),"",VLOOKUP('Список деталей'!I162,Справочник!$A$4:$D$11,4,0))</f>
        <v/>
      </c>
      <c r="J154" s="24" t="str">
        <f>IF(ISBLANK('Список деталей'!K162),"",'Список деталей'!K162)</f>
        <v/>
      </c>
      <c r="K154" s="3" t="str">
        <f>IF(ISNUMBER('Список деталей'!C162), 'Список деталей'!$B$5,"")</f>
        <v/>
      </c>
      <c r="L154" s="3" t="str">
        <f>IF(ISNUMBER('Список деталей'!C162), 'Список деталей'!$I$4,"")</f>
        <v/>
      </c>
    </row>
    <row r="155" spans="1:12" x14ac:dyDescent="0.45">
      <c r="A155" s="3" t="str">
        <f>IF(ISBLANK('Список деталей'!C163),"",'Список деталей'!A163)</f>
        <v/>
      </c>
      <c r="B155" s="24" t="str">
        <f>IF(ISNUMBER('Список деталей'!C163), 'Список деталей'!C163, "")</f>
        <v/>
      </c>
      <c r="C155" s="24" t="str">
        <f>IF(ISNUMBER('Список деталей'!D163), 'Список деталей'!D163, "")</f>
        <v/>
      </c>
      <c r="D155" s="24" t="str">
        <f>IF(ISNUMBER('Список деталей'!E163), 'Список деталей'!E163, "")</f>
        <v/>
      </c>
      <c r="E155" s="24"/>
      <c r="F155" s="25" t="str">
        <f>IF(ISBLANK('Список деталей'!F163),"",VLOOKUP('Список деталей'!F163,Справочник!$A$4:$D$11,4,0))</f>
        <v/>
      </c>
      <c r="G155" s="25" t="str">
        <f>IF(ISBLANK('Список деталей'!G163),"",VLOOKUP('Список деталей'!G163,Справочник!$A$4:$D$11,4,0))</f>
        <v/>
      </c>
      <c r="H155" s="25" t="str">
        <f>IF(ISBLANK('Список деталей'!H163),"",VLOOKUP('Список деталей'!H163,Справочник!$A$4:$D$11,4,0))</f>
        <v/>
      </c>
      <c r="I155" s="25" t="str">
        <f>IF(ISBLANK('Список деталей'!I163),"",VLOOKUP('Список деталей'!I163,Справочник!$A$4:$D$11,4,0))</f>
        <v/>
      </c>
      <c r="J155" s="24" t="str">
        <f>IF(ISBLANK('Список деталей'!K163),"",'Список деталей'!K163)</f>
        <v/>
      </c>
      <c r="K155" s="3" t="str">
        <f>IF(ISNUMBER('Список деталей'!C163), 'Список деталей'!$B$5,"")</f>
        <v/>
      </c>
      <c r="L155" s="3" t="str">
        <f>IF(ISNUMBER('Список деталей'!C163), 'Список деталей'!$I$4,"")</f>
        <v/>
      </c>
    </row>
    <row r="156" spans="1:12" x14ac:dyDescent="0.45">
      <c r="A156" s="3" t="str">
        <f>IF(ISBLANK('Список деталей'!C164),"",'Список деталей'!A164)</f>
        <v/>
      </c>
      <c r="B156" s="24" t="str">
        <f>IF(ISNUMBER('Список деталей'!C164), 'Список деталей'!C164, "")</f>
        <v/>
      </c>
      <c r="C156" s="24" t="str">
        <f>IF(ISNUMBER('Список деталей'!D164), 'Список деталей'!D164, "")</f>
        <v/>
      </c>
      <c r="D156" s="24" t="str">
        <f>IF(ISNUMBER('Список деталей'!E164), 'Список деталей'!E164, "")</f>
        <v/>
      </c>
      <c r="E156" s="24"/>
      <c r="F156" s="25" t="str">
        <f>IF(ISBLANK('Список деталей'!F164),"",VLOOKUP('Список деталей'!F164,Справочник!$A$4:$D$11,4,0))</f>
        <v/>
      </c>
      <c r="G156" s="25" t="str">
        <f>IF(ISBLANK('Список деталей'!G164),"",VLOOKUP('Список деталей'!G164,Справочник!$A$4:$D$11,4,0))</f>
        <v/>
      </c>
      <c r="H156" s="25" t="str">
        <f>IF(ISBLANK('Список деталей'!H164),"",VLOOKUP('Список деталей'!H164,Справочник!$A$4:$D$11,4,0))</f>
        <v/>
      </c>
      <c r="I156" s="25" t="str">
        <f>IF(ISBLANK('Список деталей'!I164),"",VLOOKUP('Список деталей'!I164,Справочник!$A$4:$D$11,4,0))</f>
        <v/>
      </c>
      <c r="J156" s="24" t="str">
        <f>IF(ISBLANK('Список деталей'!K164),"",'Список деталей'!K164)</f>
        <v/>
      </c>
      <c r="K156" s="3" t="str">
        <f>IF(ISNUMBER('Список деталей'!C164), 'Список деталей'!$B$5,"")</f>
        <v/>
      </c>
      <c r="L156" s="3" t="str">
        <f>IF(ISNUMBER('Список деталей'!C164), 'Список деталей'!$I$4,"")</f>
        <v/>
      </c>
    </row>
    <row r="157" spans="1:12" x14ac:dyDescent="0.45">
      <c r="A157" s="3" t="str">
        <f>IF(ISBLANK('Список деталей'!C165),"",'Список деталей'!A165)</f>
        <v/>
      </c>
      <c r="B157" s="24" t="str">
        <f>IF(ISNUMBER('Список деталей'!C165), 'Список деталей'!C165, "")</f>
        <v/>
      </c>
      <c r="C157" s="24" t="str">
        <f>IF(ISNUMBER('Список деталей'!D165), 'Список деталей'!D165, "")</f>
        <v/>
      </c>
      <c r="D157" s="24" t="str">
        <f>IF(ISNUMBER('Список деталей'!E165), 'Список деталей'!E165, "")</f>
        <v/>
      </c>
      <c r="E157" s="24"/>
      <c r="F157" s="25" t="str">
        <f>IF(ISBLANK('Список деталей'!F165),"",VLOOKUP('Список деталей'!F165,Справочник!$A$4:$D$11,4,0))</f>
        <v/>
      </c>
      <c r="G157" s="25" t="str">
        <f>IF(ISBLANK('Список деталей'!G165),"",VLOOKUP('Список деталей'!G165,Справочник!$A$4:$D$11,4,0))</f>
        <v/>
      </c>
      <c r="H157" s="25" t="str">
        <f>IF(ISBLANK('Список деталей'!H165),"",VLOOKUP('Список деталей'!H165,Справочник!$A$4:$D$11,4,0))</f>
        <v/>
      </c>
      <c r="I157" s="25" t="str">
        <f>IF(ISBLANK('Список деталей'!I165),"",VLOOKUP('Список деталей'!I165,Справочник!$A$4:$D$11,4,0))</f>
        <v/>
      </c>
      <c r="J157" s="24" t="str">
        <f>IF(ISBLANK('Список деталей'!K165),"",'Список деталей'!K165)</f>
        <v/>
      </c>
      <c r="K157" s="3" t="str">
        <f>IF(ISNUMBER('Список деталей'!C165), 'Список деталей'!$B$5,"")</f>
        <v/>
      </c>
      <c r="L157" s="3" t="str">
        <f>IF(ISNUMBER('Список деталей'!C165), 'Список деталей'!$I$4,"")</f>
        <v/>
      </c>
    </row>
    <row r="158" spans="1:12" x14ac:dyDescent="0.45">
      <c r="A158" s="3" t="str">
        <f>IF(ISBLANK('Список деталей'!C166),"",'Список деталей'!A166)</f>
        <v/>
      </c>
      <c r="B158" s="24" t="str">
        <f>IF(ISNUMBER('Список деталей'!C166), 'Список деталей'!C166, "")</f>
        <v/>
      </c>
      <c r="C158" s="24" t="str">
        <f>IF(ISNUMBER('Список деталей'!D166), 'Список деталей'!D166, "")</f>
        <v/>
      </c>
      <c r="D158" s="24" t="str">
        <f>IF(ISNUMBER('Список деталей'!E166), 'Список деталей'!E166, "")</f>
        <v/>
      </c>
      <c r="E158" s="24"/>
      <c r="F158" s="25" t="str">
        <f>IF(ISBLANK('Список деталей'!F166),"",VLOOKUP('Список деталей'!F166,Справочник!$A$4:$D$11,4,0))</f>
        <v/>
      </c>
      <c r="G158" s="25" t="str">
        <f>IF(ISBLANK('Список деталей'!G166),"",VLOOKUP('Список деталей'!G166,Справочник!$A$4:$D$11,4,0))</f>
        <v/>
      </c>
      <c r="H158" s="25" t="str">
        <f>IF(ISBLANK('Список деталей'!H166),"",VLOOKUP('Список деталей'!H166,Справочник!$A$4:$D$11,4,0))</f>
        <v/>
      </c>
      <c r="I158" s="25" t="str">
        <f>IF(ISBLANK('Список деталей'!I166),"",VLOOKUP('Список деталей'!I166,Справочник!$A$4:$D$11,4,0))</f>
        <v/>
      </c>
      <c r="J158" s="24" t="str">
        <f>IF(ISBLANK('Список деталей'!K166),"",'Список деталей'!K166)</f>
        <v/>
      </c>
      <c r="K158" s="3" t="str">
        <f>IF(ISNUMBER('Список деталей'!C166), 'Список деталей'!$B$5,"")</f>
        <v/>
      </c>
      <c r="L158" s="3" t="str">
        <f>IF(ISNUMBER('Список деталей'!C166), 'Список деталей'!$I$4,"")</f>
        <v/>
      </c>
    </row>
    <row r="159" spans="1:12" x14ac:dyDescent="0.45">
      <c r="A159" s="3" t="str">
        <f>IF(ISBLANK('Список деталей'!C167),"",'Список деталей'!A167)</f>
        <v/>
      </c>
      <c r="B159" s="24" t="str">
        <f>IF(ISNUMBER('Список деталей'!C167), 'Список деталей'!C167, "")</f>
        <v/>
      </c>
      <c r="C159" s="24" t="str">
        <f>IF(ISNUMBER('Список деталей'!D167), 'Список деталей'!D167, "")</f>
        <v/>
      </c>
      <c r="D159" s="24" t="str">
        <f>IF(ISNUMBER('Список деталей'!E167), 'Список деталей'!E167, "")</f>
        <v/>
      </c>
      <c r="E159" s="24"/>
      <c r="F159" s="25" t="str">
        <f>IF(ISBLANK('Список деталей'!F167),"",VLOOKUP('Список деталей'!F167,Справочник!$A$4:$D$11,4,0))</f>
        <v/>
      </c>
      <c r="G159" s="25" t="str">
        <f>IF(ISBLANK('Список деталей'!G167),"",VLOOKUP('Список деталей'!G167,Справочник!$A$4:$D$11,4,0))</f>
        <v/>
      </c>
      <c r="H159" s="25" t="str">
        <f>IF(ISBLANK('Список деталей'!H167),"",VLOOKUP('Список деталей'!H167,Справочник!$A$4:$D$11,4,0))</f>
        <v/>
      </c>
      <c r="I159" s="25" t="str">
        <f>IF(ISBLANK('Список деталей'!I167),"",VLOOKUP('Список деталей'!I167,Справочник!$A$4:$D$11,4,0))</f>
        <v/>
      </c>
      <c r="J159" s="24" t="str">
        <f>IF(ISBLANK('Список деталей'!K167),"",'Список деталей'!K167)</f>
        <v/>
      </c>
      <c r="K159" s="3" t="str">
        <f>IF(ISNUMBER('Список деталей'!C167), 'Список деталей'!$B$5,"")</f>
        <v/>
      </c>
      <c r="L159" s="3" t="str">
        <f>IF(ISNUMBER('Список деталей'!C167), 'Список деталей'!$I$4,"")</f>
        <v/>
      </c>
    </row>
    <row r="160" spans="1:12" x14ac:dyDescent="0.45">
      <c r="A160" s="3" t="str">
        <f>IF(ISBLANK('Список деталей'!C168),"",'Список деталей'!A168)</f>
        <v/>
      </c>
      <c r="B160" s="24" t="str">
        <f>IF(ISNUMBER('Список деталей'!C168), 'Список деталей'!C168, "")</f>
        <v/>
      </c>
      <c r="C160" s="24" t="str">
        <f>IF(ISNUMBER('Список деталей'!D168), 'Список деталей'!D168, "")</f>
        <v/>
      </c>
      <c r="D160" s="24" t="str">
        <f>IF(ISNUMBER('Список деталей'!E168), 'Список деталей'!E168, "")</f>
        <v/>
      </c>
      <c r="E160" s="24"/>
      <c r="F160" s="25" t="str">
        <f>IF(ISBLANK('Список деталей'!F168),"",VLOOKUP('Список деталей'!F168,Справочник!$A$4:$D$11,4,0))</f>
        <v/>
      </c>
      <c r="G160" s="25" t="str">
        <f>IF(ISBLANK('Список деталей'!G168),"",VLOOKUP('Список деталей'!G168,Справочник!$A$4:$D$11,4,0))</f>
        <v/>
      </c>
      <c r="H160" s="25" t="str">
        <f>IF(ISBLANK('Список деталей'!H168),"",VLOOKUP('Список деталей'!H168,Справочник!$A$4:$D$11,4,0))</f>
        <v/>
      </c>
      <c r="I160" s="25" t="str">
        <f>IF(ISBLANK('Список деталей'!I168),"",VLOOKUP('Список деталей'!I168,Справочник!$A$4:$D$11,4,0))</f>
        <v/>
      </c>
      <c r="J160" s="24" t="str">
        <f>IF(ISBLANK('Список деталей'!K168),"",'Список деталей'!K168)</f>
        <v/>
      </c>
      <c r="K160" s="3" t="str">
        <f>IF(ISNUMBER('Список деталей'!C168), 'Список деталей'!$B$5,"")</f>
        <v/>
      </c>
      <c r="L160" s="3" t="str">
        <f>IF(ISNUMBER('Список деталей'!C168), 'Список деталей'!$I$4,"")</f>
        <v/>
      </c>
    </row>
    <row r="161" spans="1:12" x14ac:dyDescent="0.45">
      <c r="A161" s="3" t="str">
        <f>IF(ISBLANK('Список деталей'!C169),"",'Список деталей'!A169)</f>
        <v/>
      </c>
      <c r="B161" s="24" t="str">
        <f>IF(ISNUMBER('Список деталей'!C169), 'Список деталей'!C169, "")</f>
        <v/>
      </c>
      <c r="C161" s="24" t="str">
        <f>IF(ISNUMBER('Список деталей'!D169), 'Список деталей'!D169, "")</f>
        <v/>
      </c>
      <c r="D161" s="24" t="str">
        <f>IF(ISNUMBER('Список деталей'!E169), 'Список деталей'!E169, "")</f>
        <v/>
      </c>
      <c r="E161" s="24"/>
      <c r="F161" s="25" t="str">
        <f>IF(ISBLANK('Список деталей'!F169),"",VLOOKUP('Список деталей'!F169,Справочник!$A$4:$D$11,4,0))</f>
        <v/>
      </c>
      <c r="G161" s="25" t="str">
        <f>IF(ISBLANK('Список деталей'!G169),"",VLOOKUP('Список деталей'!G169,Справочник!$A$4:$D$11,4,0))</f>
        <v/>
      </c>
      <c r="H161" s="25" t="str">
        <f>IF(ISBLANK('Список деталей'!H169),"",VLOOKUP('Список деталей'!H169,Справочник!$A$4:$D$11,4,0))</f>
        <v/>
      </c>
      <c r="I161" s="25" t="str">
        <f>IF(ISBLANK('Список деталей'!I169),"",VLOOKUP('Список деталей'!I169,Справочник!$A$4:$D$11,4,0))</f>
        <v/>
      </c>
      <c r="J161" s="24" t="str">
        <f>IF(ISBLANK('Список деталей'!K169),"",'Список деталей'!K169)</f>
        <v/>
      </c>
      <c r="K161" s="3" t="str">
        <f>IF(ISNUMBER('Список деталей'!C169), 'Список деталей'!$B$5,"")</f>
        <v/>
      </c>
      <c r="L161" s="3" t="str">
        <f>IF(ISNUMBER('Список деталей'!C169), 'Список деталей'!$I$4,"")</f>
        <v/>
      </c>
    </row>
    <row r="162" spans="1:12" x14ac:dyDescent="0.45">
      <c r="A162" s="3" t="str">
        <f>IF(ISBLANK('Список деталей'!C170),"",'Список деталей'!A170)</f>
        <v/>
      </c>
      <c r="B162" s="24" t="str">
        <f>IF(ISNUMBER('Список деталей'!C170), 'Список деталей'!C170, "")</f>
        <v/>
      </c>
      <c r="C162" s="24" t="str">
        <f>IF(ISNUMBER('Список деталей'!D170), 'Список деталей'!D170, "")</f>
        <v/>
      </c>
      <c r="D162" s="24" t="str">
        <f>IF(ISNUMBER('Список деталей'!E170), 'Список деталей'!E170, "")</f>
        <v/>
      </c>
      <c r="E162" s="24"/>
      <c r="F162" s="25" t="str">
        <f>IF(ISBLANK('Список деталей'!F170),"",VLOOKUP('Список деталей'!F170,Справочник!$A$4:$D$11,4,0))</f>
        <v/>
      </c>
      <c r="G162" s="25" t="str">
        <f>IF(ISBLANK('Список деталей'!G170),"",VLOOKUP('Список деталей'!G170,Справочник!$A$4:$D$11,4,0))</f>
        <v/>
      </c>
      <c r="H162" s="25" t="str">
        <f>IF(ISBLANK('Список деталей'!H170),"",VLOOKUP('Список деталей'!H170,Справочник!$A$4:$D$11,4,0))</f>
        <v/>
      </c>
      <c r="I162" s="25" t="str">
        <f>IF(ISBLANK('Список деталей'!I170),"",VLOOKUP('Список деталей'!I170,Справочник!$A$4:$D$11,4,0))</f>
        <v/>
      </c>
      <c r="J162" s="24" t="str">
        <f>IF(ISBLANK('Список деталей'!K170),"",'Список деталей'!K170)</f>
        <v/>
      </c>
      <c r="K162" s="3" t="str">
        <f>IF(ISNUMBER('Список деталей'!C170), 'Список деталей'!$B$5,"")</f>
        <v/>
      </c>
      <c r="L162" s="3" t="str">
        <f>IF(ISNUMBER('Список деталей'!C170), 'Список деталей'!$I$4,"")</f>
        <v/>
      </c>
    </row>
    <row r="163" spans="1:12" x14ac:dyDescent="0.45">
      <c r="A163" s="3" t="str">
        <f>IF(ISBLANK('Список деталей'!C171),"",'Список деталей'!A171)</f>
        <v/>
      </c>
      <c r="B163" s="24" t="str">
        <f>IF(ISNUMBER('Список деталей'!C171), 'Список деталей'!C171, "")</f>
        <v/>
      </c>
      <c r="C163" s="24" t="str">
        <f>IF(ISNUMBER('Список деталей'!D171), 'Список деталей'!D171, "")</f>
        <v/>
      </c>
      <c r="D163" s="24" t="str">
        <f>IF(ISNUMBER('Список деталей'!E171), 'Список деталей'!E171, "")</f>
        <v/>
      </c>
      <c r="E163" s="24"/>
      <c r="F163" s="25" t="str">
        <f>IF(ISBLANK('Список деталей'!F171),"",VLOOKUP('Список деталей'!F171,Справочник!$A$4:$D$11,4,0))</f>
        <v/>
      </c>
      <c r="G163" s="25" t="str">
        <f>IF(ISBLANK('Список деталей'!G171),"",VLOOKUP('Список деталей'!G171,Справочник!$A$4:$D$11,4,0))</f>
        <v/>
      </c>
      <c r="H163" s="25" t="str">
        <f>IF(ISBLANK('Список деталей'!H171),"",VLOOKUP('Список деталей'!H171,Справочник!$A$4:$D$11,4,0))</f>
        <v/>
      </c>
      <c r="I163" s="25" t="str">
        <f>IF(ISBLANK('Список деталей'!I171),"",VLOOKUP('Список деталей'!I171,Справочник!$A$4:$D$11,4,0))</f>
        <v/>
      </c>
      <c r="J163" s="24" t="str">
        <f>IF(ISBLANK('Список деталей'!K171),"",'Список деталей'!K171)</f>
        <v/>
      </c>
      <c r="K163" s="3" t="str">
        <f>IF(ISNUMBER('Список деталей'!C171), 'Список деталей'!$B$5,"")</f>
        <v/>
      </c>
      <c r="L163" s="3" t="str">
        <f>IF(ISNUMBER('Список деталей'!C171), 'Список деталей'!$I$4,"")</f>
        <v/>
      </c>
    </row>
    <row r="164" spans="1:12" x14ac:dyDescent="0.45">
      <c r="A164" s="3" t="str">
        <f>IF(ISBLANK('Список деталей'!C172),"",'Список деталей'!A172)</f>
        <v/>
      </c>
      <c r="B164" s="24" t="str">
        <f>IF(ISNUMBER('Список деталей'!C172), 'Список деталей'!C172, "")</f>
        <v/>
      </c>
      <c r="C164" s="24" t="str">
        <f>IF(ISNUMBER('Список деталей'!D172), 'Список деталей'!D172, "")</f>
        <v/>
      </c>
      <c r="D164" s="24" t="str">
        <f>IF(ISNUMBER('Список деталей'!E172), 'Список деталей'!E172, "")</f>
        <v/>
      </c>
      <c r="E164" s="24"/>
      <c r="F164" s="25" t="str">
        <f>IF(ISBLANK('Список деталей'!F172),"",VLOOKUP('Список деталей'!F172,Справочник!$A$4:$D$11,4,0))</f>
        <v/>
      </c>
      <c r="G164" s="25" t="str">
        <f>IF(ISBLANK('Список деталей'!G172),"",VLOOKUP('Список деталей'!G172,Справочник!$A$4:$D$11,4,0))</f>
        <v/>
      </c>
      <c r="H164" s="25" t="str">
        <f>IF(ISBLANK('Список деталей'!H172),"",VLOOKUP('Список деталей'!H172,Справочник!$A$4:$D$11,4,0))</f>
        <v/>
      </c>
      <c r="I164" s="25" t="str">
        <f>IF(ISBLANK('Список деталей'!I172),"",VLOOKUP('Список деталей'!I172,Справочник!$A$4:$D$11,4,0))</f>
        <v/>
      </c>
      <c r="J164" s="24" t="str">
        <f>IF(ISBLANK('Список деталей'!K172),"",'Список деталей'!K172)</f>
        <v/>
      </c>
      <c r="K164" s="3" t="str">
        <f>IF(ISNUMBER('Список деталей'!C172), 'Список деталей'!$B$5,"")</f>
        <v/>
      </c>
      <c r="L164" s="3" t="str">
        <f>IF(ISNUMBER('Список деталей'!C172), 'Список деталей'!$I$4,"")</f>
        <v/>
      </c>
    </row>
    <row r="165" spans="1:12" x14ac:dyDescent="0.45">
      <c r="A165" s="3" t="str">
        <f>IF(ISBLANK('Список деталей'!C173),"",'Список деталей'!A173)</f>
        <v/>
      </c>
      <c r="B165" s="24" t="str">
        <f>IF(ISNUMBER('Список деталей'!C173), 'Список деталей'!C173, "")</f>
        <v/>
      </c>
      <c r="C165" s="24" t="str">
        <f>IF(ISNUMBER('Список деталей'!D173), 'Список деталей'!D173, "")</f>
        <v/>
      </c>
      <c r="D165" s="24" t="str">
        <f>IF(ISNUMBER('Список деталей'!E173), 'Список деталей'!E173, "")</f>
        <v/>
      </c>
      <c r="E165" s="24"/>
      <c r="F165" s="25" t="str">
        <f>IF(ISBLANK('Список деталей'!F173),"",VLOOKUP('Список деталей'!F173,Справочник!$A$4:$D$11,4,0))</f>
        <v/>
      </c>
      <c r="G165" s="25" t="str">
        <f>IF(ISBLANK('Список деталей'!G173),"",VLOOKUP('Список деталей'!G173,Справочник!$A$4:$D$11,4,0))</f>
        <v/>
      </c>
      <c r="H165" s="25" t="str">
        <f>IF(ISBLANK('Список деталей'!H173),"",VLOOKUP('Список деталей'!H173,Справочник!$A$4:$D$11,4,0))</f>
        <v/>
      </c>
      <c r="I165" s="25" t="str">
        <f>IF(ISBLANK('Список деталей'!I173),"",VLOOKUP('Список деталей'!I173,Справочник!$A$4:$D$11,4,0))</f>
        <v/>
      </c>
      <c r="J165" s="24" t="str">
        <f>IF(ISBLANK('Список деталей'!K173),"",'Список деталей'!K173)</f>
        <v/>
      </c>
      <c r="K165" s="3" t="str">
        <f>IF(ISNUMBER('Список деталей'!C173), 'Список деталей'!$B$5,"")</f>
        <v/>
      </c>
      <c r="L165" s="3" t="str">
        <f>IF(ISNUMBER('Список деталей'!C173), 'Список деталей'!$I$4,"")</f>
        <v/>
      </c>
    </row>
    <row r="166" spans="1:12" x14ac:dyDescent="0.45">
      <c r="A166" s="3" t="str">
        <f>IF(ISBLANK('Список деталей'!C174),"",'Список деталей'!A174)</f>
        <v/>
      </c>
      <c r="B166" s="24" t="str">
        <f>IF(ISNUMBER('Список деталей'!C174), 'Список деталей'!C174, "")</f>
        <v/>
      </c>
      <c r="C166" s="24" t="str">
        <f>IF(ISNUMBER('Список деталей'!D174), 'Список деталей'!D174, "")</f>
        <v/>
      </c>
      <c r="D166" s="24" t="str">
        <f>IF(ISNUMBER('Список деталей'!E174), 'Список деталей'!E174, "")</f>
        <v/>
      </c>
      <c r="E166" s="24"/>
      <c r="F166" s="25" t="str">
        <f>IF(ISBLANK('Список деталей'!F174),"",VLOOKUP('Список деталей'!F174,Справочник!$A$4:$D$11,4,0))</f>
        <v/>
      </c>
      <c r="G166" s="25" t="str">
        <f>IF(ISBLANK('Список деталей'!G174),"",VLOOKUP('Список деталей'!G174,Справочник!$A$4:$D$11,4,0))</f>
        <v/>
      </c>
      <c r="H166" s="25" t="str">
        <f>IF(ISBLANK('Список деталей'!H174),"",VLOOKUP('Список деталей'!H174,Справочник!$A$4:$D$11,4,0))</f>
        <v/>
      </c>
      <c r="I166" s="25" t="str">
        <f>IF(ISBLANK('Список деталей'!I174),"",VLOOKUP('Список деталей'!I174,Справочник!$A$4:$D$11,4,0))</f>
        <v/>
      </c>
      <c r="J166" s="24" t="str">
        <f>IF(ISBLANK('Список деталей'!K174),"",'Список деталей'!K174)</f>
        <v/>
      </c>
      <c r="K166" s="3" t="str">
        <f>IF(ISNUMBER('Список деталей'!C174), 'Список деталей'!$B$5,"")</f>
        <v/>
      </c>
      <c r="L166" s="3" t="str">
        <f>IF(ISNUMBER('Список деталей'!C174), 'Список деталей'!$I$4,"")</f>
        <v/>
      </c>
    </row>
    <row r="167" spans="1:12" x14ac:dyDescent="0.45">
      <c r="A167" s="3" t="str">
        <f>IF(ISBLANK('Список деталей'!C175),"",'Список деталей'!A175)</f>
        <v/>
      </c>
      <c r="B167" s="24" t="str">
        <f>IF(ISNUMBER('Список деталей'!C175), 'Список деталей'!C175, "")</f>
        <v/>
      </c>
      <c r="C167" s="24" t="str">
        <f>IF(ISNUMBER('Список деталей'!D175), 'Список деталей'!D175, "")</f>
        <v/>
      </c>
      <c r="D167" s="24" t="str">
        <f>IF(ISNUMBER('Список деталей'!E175), 'Список деталей'!E175, "")</f>
        <v/>
      </c>
      <c r="E167" s="24"/>
      <c r="F167" s="25" t="str">
        <f>IF(ISBLANK('Список деталей'!F175),"",VLOOKUP('Список деталей'!F175,Справочник!$A$4:$D$11,4,0))</f>
        <v/>
      </c>
      <c r="G167" s="25" t="str">
        <f>IF(ISBLANK('Список деталей'!G175),"",VLOOKUP('Список деталей'!G175,Справочник!$A$4:$D$11,4,0))</f>
        <v/>
      </c>
      <c r="H167" s="25" t="str">
        <f>IF(ISBLANK('Список деталей'!H175),"",VLOOKUP('Список деталей'!H175,Справочник!$A$4:$D$11,4,0))</f>
        <v/>
      </c>
      <c r="I167" s="25" t="str">
        <f>IF(ISBLANK('Список деталей'!I175),"",VLOOKUP('Список деталей'!I175,Справочник!$A$4:$D$11,4,0))</f>
        <v/>
      </c>
      <c r="J167" s="24" t="str">
        <f>IF(ISBLANK('Список деталей'!K175),"",'Список деталей'!K175)</f>
        <v/>
      </c>
      <c r="K167" s="3" t="str">
        <f>IF(ISNUMBER('Список деталей'!C175), 'Список деталей'!$B$5,"")</f>
        <v/>
      </c>
      <c r="L167" s="3" t="str">
        <f>IF(ISNUMBER('Список деталей'!C175), 'Список деталей'!$I$4,"")</f>
        <v/>
      </c>
    </row>
    <row r="168" spans="1:12" x14ac:dyDescent="0.45">
      <c r="A168" s="3" t="str">
        <f>IF(ISBLANK('Список деталей'!C176),"",'Список деталей'!A176)</f>
        <v/>
      </c>
      <c r="B168" s="24" t="str">
        <f>IF(ISNUMBER('Список деталей'!C176), 'Список деталей'!C176, "")</f>
        <v/>
      </c>
      <c r="C168" s="24" t="str">
        <f>IF(ISNUMBER('Список деталей'!D176), 'Список деталей'!D176, "")</f>
        <v/>
      </c>
      <c r="D168" s="24" t="str">
        <f>IF(ISNUMBER('Список деталей'!E176), 'Список деталей'!E176, "")</f>
        <v/>
      </c>
      <c r="E168" s="24"/>
      <c r="F168" s="25" t="str">
        <f>IF(ISBLANK('Список деталей'!F176),"",VLOOKUP('Список деталей'!F176,Справочник!$A$4:$D$11,4,0))</f>
        <v/>
      </c>
      <c r="G168" s="25" t="str">
        <f>IF(ISBLANK('Список деталей'!G176),"",VLOOKUP('Список деталей'!G176,Справочник!$A$4:$D$11,4,0))</f>
        <v/>
      </c>
      <c r="H168" s="25" t="str">
        <f>IF(ISBLANK('Список деталей'!H176),"",VLOOKUP('Список деталей'!H176,Справочник!$A$4:$D$11,4,0))</f>
        <v/>
      </c>
      <c r="I168" s="25" t="str">
        <f>IF(ISBLANK('Список деталей'!I176),"",VLOOKUP('Список деталей'!I176,Справочник!$A$4:$D$11,4,0))</f>
        <v/>
      </c>
      <c r="J168" s="24" t="str">
        <f>IF(ISBLANK('Список деталей'!K176),"",'Список деталей'!K176)</f>
        <v/>
      </c>
      <c r="K168" s="3" t="str">
        <f>IF(ISNUMBER('Список деталей'!C176), 'Список деталей'!$B$5,"")</f>
        <v/>
      </c>
      <c r="L168" s="3" t="str">
        <f>IF(ISNUMBER('Список деталей'!C176), 'Список деталей'!$I$4,"")</f>
        <v/>
      </c>
    </row>
    <row r="169" spans="1:12" x14ac:dyDescent="0.45">
      <c r="A169" s="3" t="str">
        <f>IF(ISBLANK('Список деталей'!C177),"",'Список деталей'!A177)</f>
        <v/>
      </c>
      <c r="B169" s="24" t="str">
        <f>IF(ISNUMBER('Список деталей'!C177), 'Список деталей'!C177, "")</f>
        <v/>
      </c>
      <c r="C169" s="24" t="str">
        <f>IF(ISNUMBER('Список деталей'!D177), 'Список деталей'!D177, "")</f>
        <v/>
      </c>
      <c r="D169" s="24" t="str">
        <f>IF(ISNUMBER('Список деталей'!E177), 'Список деталей'!E177, "")</f>
        <v/>
      </c>
      <c r="E169" s="24"/>
      <c r="F169" s="25" t="str">
        <f>IF(ISBLANK('Список деталей'!F177),"",VLOOKUP('Список деталей'!F177,Справочник!$A$4:$D$11,4,0))</f>
        <v/>
      </c>
      <c r="G169" s="25" t="str">
        <f>IF(ISBLANK('Список деталей'!G177),"",VLOOKUP('Список деталей'!G177,Справочник!$A$4:$D$11,4,0))</f>
        <v/>
      </c>
      <c r="H169" s="25" t="str">
        <f>IF(ISBLANK('Список деталей'!H177),"",VLOOKUP('Список деталей'!H177,Справочник!$A$4:$D$11,4,0))</f>
        <v/>
      </c>
      <c r="I169" s="25" t="str">
        <f>IF(ISBLANK('Список деталей'!I177),"",VLOOKUP('Список деталей'!I177,Справочник!$A$4:$D$11,4,0))</f>
        <v/>
      </c>
      <c r="J169" s="24" t="str">
        <f>IF(ISBLANK('Список деталей'!K177),"",'Список деталей'!K177)</f>
        <v/>
      </c>
      <c r="K169" s="3" t="str">
        <f>IF(ISNUMBER('Список деталей'!C177), 'Список деталей'!$B$5,"")</f>
        <v/>
      </c>
      <c r="L169" s="3" t="str">
        <f>IF(ISNUMBER('Список деталей'!C177), 'Список деталей'!$I$4,"")</f>
        <v/>
      </c>
    </row>
    <row r="170" spans="1:12" x14ac:dyDescent="0.45">
      <c r="A170" s="3" t="str">
        <f>IF(ISBLANK('Список деталей'!C178),"",'Список деталей'!A178)</f>
        <v/>
      </c>
      <c r="B170" s="24" t="str">
        <f>IF(ISNUMBER('Список деталей'!C178), 'Список деталей'!C178, "")</f>
        <v/>
      </c>
      <c r="C170" s="24" t="str">
        <f>IF(ISNUMBER('Список деталей'!D178), 'Список деталей'!D178, "")</f>
        <v/>
      </c>
      <c r="D170" s="24" t="str">
        <f>IF(ISNUMBER('Список деталей'!E178), 'Список деталей'!E178, "")</f>
        <v/>
      </c>
      <c r="E170" s="24"/>
      <c r="F170" s="25" t="str">
        <f>IF(ISBLANK('Список деталей'!F178),"",VLOOKUP('Список деталей'!F178,Справочник!$A$4:$D$11,4,0))</f>
        <v/>
      </c>
      <c r="G170" s="25" t="str">
        <f>IF(ISBLANK('Список деталей'!G178),"",VLOOKUP('Список деталей'!G178,Справочник!$A$4:$D$11,4,0))</f>
        <v/>
      </c>
      <c r="H170" s="25" t="str">
        <f>IF(ISBLANK('Список деталей'!H178),"",VLOOKUP('Список деталей'!H178,Справочник!$A$4:$D$11,4,0))</f>
        <v/>
      </c>
      <c r="I170" s="25" t="str">
        <f>IF(ISBLANK('Список деталей'!I178),"",VLOOKUP('Список деталей'!I178,Справочник!$A$4:$D$11,4,0))</f>
        <v/>
      </c>
      <c r="J170" s="24" t="str">
        <f>IF(ISBLANK('Список деталей'!K178),"",'Список деталей'!K178)</f>
        <v/>
      </c>
      <c r="K170" s="3" t="str">
        <f>IF(ISNUMBER('Список деталей'!C178), 'Список деталей'!$B$5,"")</f>
        <v/>
      </c>
      <c r="L170" s="3" t="str">
        <f>IF(ISNUMBER('Список деталей'!C178), 'Список деталей'!$I$4,"")</f>
        <v/>
      </c>
    </row>
    <row r="171" spans="1:12" x14ac:dyDescent="0.45">
      <c r="A171" s="3" t="str">
        <f>IF(ISBLANK('Список деталей'!C179),"",'Список деталей'!A179)</f>
        <v/>
      </c>
      <c r="B171" s="24" t="str">
        <f>IF(ISNUMBER('Список деталей'!C179), 'Список деталей'!C179, "")</f>
        <v/>
      </c>
      <c r="C171" s="24" t="str">
        <f>IF(ISNUMBER('Список деталей'!D179), 'Список деталей'!D179, "")</f>
        <v/>
      </c>
      <c r="D171" s="24" t="str">
        <f>IF(ISNUMBER('Список деталей'!E179), 'Список деталей'!E179, "")</f>
        <v/>
      </c>
      <c r="E171" s="24"/>
      <c r="F171" s="25" t="str">
        <f>IF(ISBLANK('Список деталей'!F179),"",VLOOKUP('Список деталей'!F179,Справочник!$A$4:$D$11,4,0))</f>
        <v/>
      </c>
      <c r="G171" s="25" t="str">
        <f>IF(ISBLANK('Список деталей'!G179),"",VLOOKUP('Список деталей'!G179,Справочник!$A$4:$D$11,4,0))</f>
        <v/>
      </c>
      <c r="H171" s="25" t="str">
        <f>IF(ISBLANK('Список деталей'!H179),"",VLOOKUP('Список деталей'!H179,Справочник!$A$4:$D$11,4,0))</f>
        <v/>
      </c>
      <c r="I171" s="25" t="str">
        <f>IF(ISBLANK('Список деталей'!I179),"",VLOOKUP('Список деталей'!I179,Справочник!$A$4:$D$11,4,0))</f>
        <v/>
      </c>
      <c r="J171" s="24" t="str">
        <f>IF(ISBLANK('Список деталей'!K179),"",'Список деталей'!K179)</f>
        <v/>
      </c>
      <c r="K171" s="3" t="str">
        <f>IF(ISNUMBER('Список деталей'!C179), 'Список деталей'!$B$5,"")</f>
        <v/>
      </c>
      <c r="L171" s="3" t="str">
        <f>IF(ISNUMBER('Список деталей'!C179), 'Список деталей'!$I$4,"")</f>
        <v/>
      </c>
    </row>
    <row r="172" spans="1:12" x14ac:dyDescent="0.45">
      <c r="A172" s="3" t="str">
        <f>IF(ISBLANK('Список деталей'!C180),"",'Список деталей'!A180)</f>
        <v/>
      </c>
      <c r="B172" s="24" t="str">
        <f>IF(ISNUMBER('Список деталей'!C180), 'Список деталей'!C180, "")</f>
        <v/>
      </c>
      <c r="C172" s="24" t="str">
        <f>IF(ISNUMBER('Список деталей'!D180), 'Список деталей'!D180, "")</f>
        <v/>
      </c>
      <c r="D172" s="24" t="str">
        <f>IF(ISNUMBER('Список деталей'!E180), 'Список деталей'!E180, "")</f>
        <v/>
      </c>
      <c r="E172" s="24"/>
      <c r="F172" s="25" t="str">
        <f>IF(ISBLANK('Список деталей'!F180),"",VLOOKUP('Список деталей'!F180,Справочник!$A$4:$D$11,4,0))</f>
        <v/>
      </c>
      <c r="G172" s="25" t="str">
        <f>IF(ISBLANK('Список деталей'!G180),"",VLOOKUP('Список деталей'!G180,Справочник!$A$4:$D$11,4,0))</f>
        <v/>
      </c>
      <c r="H172" s="25" t="str">
        <f>IF(ISBLANK('Список деталей'!H180),"",VLOOKUP('Список деталей'!H180,Справочник!$A$4:$D$11,4,0))</f>
        <v/>
      </c>
      <c r="I172" s="25" t="str">
        <f>IF(ISBLANK('Список деталей'!I180),"",VLOOKUP('Список деталей'!I180,Справочник!$A$4:$D$11,4,0))</f>
        <v/>
      </c>
      <c r="J172" s="24" t="str">
        <f>IF(ISBLANK('Список деталей'!K180),"",'Список деталей'!K180)</f>
        <v/>
      </c>
      <c r="K172" s="3" t="str">
        <f>IF(ISNUMBER('Список деталей'!C180), 'Список деталей'!$B$5,"")</f>
        <v/>
      </c>
      <c r="L172" s="3" t="str">
        <f>IF(ISNUMBER('Список деталей'!C180), 'Список деталей'!$I$4,"")</f>
        <v/>
      </c>
    </row>
    <row r="173" spans="1:12" x14ac:dyDescent="0.45">
      <c r="A173" s="3" t="str">
        <f>IF(ISBLANK('Список деталей'!C181),"",'Список деталей'!A181)</f>
        <v/>
      </c>
      <c r="B173" s="24" t="str">
        <f>IF(ISNUMBER('Список деталей'!C181), 'Список деталей'!C181, "")</f>
        <v/>
      </c>
      <c r="C173" s="24" t="str">
        <f>IF(ISNUMBER('Список деталей'!D181), 'Список деталей'!D181, "")</f>
        <v/>
      </c>
      <c r="D173" s="24" t="str">
        <f>IF(ISNUMBER('Список деталей'!E181), 'Список деталей'!E181, "")</f>
        <v/>
      </c>
      <c r="E173" s="24"/>
      <c r="F173" s="25" t="str">
        <f>IF(ISBLANK('Список деталей'!F181),"",VLOOKUP('Список деталей'!F181,Справочник!$A$4:$D$11,4,0))</f>
        <v/>
      </c>
      <c r="G173" s="25" t="str">
        <f>IF(ISBLANK('Список деталей'!G181),"",VLOOKUP('Список деталей'!G181,Справочник!$A$4:$D$11,4,0))</f>
        <v/>
      </c>
      <c r="H173" s="25" t="str">
        <f>IF(ISBLANK('Список деталей'!H181),"",VLOOKUP('Список деталей'!H181,Справочник!$A$4:$D$11,4,0))</f>
        <v/>
      </c>
      <c r="I173" s="25" t="str">
        <f>IF(ISBLANK('Список деталей'!I181),"",VLOOKUP('Список деталей'!I181,Справочник!$A$4:$D$11,4,0))</f>
        <v/>
      </c>
      <c r="J173" s="24" t="str">
        <f>IF(ISBLANK('Список деталей'!K181),"",'Список деталей'!K181)</f>
        <v/>
      </c>
      <c r="K173" s="3" t="str">
        <f>IF(ISNUMBER('Список деталей'!C181), 'Список деталей'!$B$5,"")</f>
        <v/>
      </c>
      <c r="L173" s="3" t="str">
        <f>IF(ISNUMBER('Список деталей'!C181), 'Список деталей'!$I$4,"")</f>
        <v/>
      </c>
    </row>
    <row r="174" spans="1:12" x14ac:dyDescent="0.45">
      <c r="A174" s="3" t="str">
        <f>IF(ISBLANK('Список деталей'!C182),"",'Список деталей'!A182)</f>
        <v/>
      </c>
      <c r="B174" s="24" t="str">
        <f>IF(ISNUMBER('Список деталей'!C182), 'Список деталей'!C182, "")</f>
        <v/>
      </c>
      <c r="C174" s="24" t="str">
        <f>IF(ISNUMBER('Список деталей'!D182), 'Список деталей'!D182, "")</f>
        <v/>
      </c>
      <c r="D174" s="24" t="str">
        <f>IF(ISNUMBER('Список деталей'!E182), 'Список деталей'!E182, "")</f>
        <v/>
      </c>
      <c r="E174" s="24"/>
      <c r="F174" s="25" t="str">
        <f>IF(ISBLANK('Список деталей'!F182),"",VLOOKUP('Список деталей'!F182,Справочник!$A$4:$D$11,4,0))</f>
        <v/>
      </c>
      <c r="G174" s="25" t="str">
        <f>IF(ISBLANK('Список деталей'!G182),"",VLOOKUP('Список деталей'!G182,Справочник!$A$4:$D$11,4,0))</f>
        <v/>
      </c>
      <c r="H174" s="25" t="str">
        <f>IF(ISBLANK('Список деталей'!H182),"",VLOOKUP('Список деталей'!H182,Справочник!$A$4:$D$11,4,0))</f>
        <v/>
      </c>
      <c r="I174" s="25" t="str">
        <f>IF(ISBLANK('Список деталей'!I182),"",VLOOKUP('Список деталей'!I182,Справочник!$A$4:$D$11,4,0))</f>
        <v/>
      </c>
      <c r="J174" s="24" t="str">
        <f>IF(ISBLANK('Список деталей'!K182),"",'Список деталей'!K182)</f>
        <v/>
      </c>
      <c r="K174" s="3" t="str">
        <f>IF(ISNUMBER('Список деталей'!C182), 'Список деталей'!$B$5,"")</f>
        <v/>
      </c>
      <c r="L174" s="3" t="str">
        <f>IF(ISNUMBER('Список деталей'!C182), 'Список деталей'!$I$4,"")</f>
        <v/>
      </c>
    </row>
    <row r="175" spans="1:12" x14ac:dyDescent="0.45">
      <c r="A175" s="3" t="str">
        <f>IF(ISBLANK('Список деталей'!C183),"",'Список деталей'!A183)</f>
        <v/>
      </c>
      <c r="B175" s="24" t="str">
        <f>IF(ISNUMBER('Список деталей'!C183), 'Список деталей'!C183, "")</f>
        <v/>
      </c>
      <c r="C175" s="24" t="str">
        <f>IF(ISNUMBER('Список деталей'!D183), 'Список деталей'!D183, "")</f>
        <v/>
      </c>
      <c r="D175" s="24" t="str">
        <f>IF(ISNUMBER('Список деталей'!E183), 'Список деталей'!E183, "")</f>
        <v/>
      </c>
      <c r="E175" s="24"/>
      <c r="F175" s="25" t="str">
        <f>IF(ISBLANK('Список деталей'!F183),"",VLOOKUP('Список деталей'!F183,Справочник!$A$4:$D$11,4,0))</f>
        <v/>
      </c>
      <c r="G175" s="25" t="str">
        <f>IF(ISBLANK('Список деталей'!G183),"",VLOOKUP('Список деталей'!G183,Справочник!$A$4:$D$11,4,0))</f>
        <v/>
      </c>
      <c r="H175" s="25" t="str">
        <f>IF(ISBLANK('Список деталей'!H183),"",VLOOKUP('Список деталей'!H183,Справочник!$A$4:$D$11,4,0))</f>
        <v/>
      </c>
      <c r="I175" s="25" t="str">
        <f>IF(ISBLANK('Список деталей'!I183),"",VLOOKUP('Список деталей'!I183,Справочник!$A$4:$D$11,4,0))</f>
        <v/>
      </c>
      <c r="J175" s="24" t="str">
        <f>IF(ISBLANK('Список деталей'!K183),"",'Список деталей'!K183)</f>
        <v/>
      </c>
      <c r="K175" s="3" t="str">
        <f>IF(ISNUMBER('Список деталей'!C183), 'Список деталей'!$B$5,"")</f>
        <v/>
      </c>
      <c r="L175" s="3" t="str">
        <f>IF(ISNUMBER('Список деталей'!C183), 'Список деталей'!$I$4,"")</f>
        <v/>
      </c>
    </row>
    <row r="176" spans="1:12" x14ac:dyDescent="0.45">
      <c r="A176" s="3" t="str">
        <f>IF(ISBLANK('Список деталей'!C184),"",'Список деталей'!A184)</f>
        <v/>
      </c>
      <c r="B176" s="24" t="str">
        <f>IF(ISNUMBER('Список деталей'!C184), 'Список деталей'!C184, "")</f>
        <v/>
      </c>
      <c r="C176" s="24" t="str">
        <f>IF(ISNUMBER('Список деталей'!D184), 'Список деталей'!D184, "")</f>
        <v/>
      </c>
      <c r="D176" s="24" t="str">
        <f>IF(ISNUMBER('Список деталей'!E184), 'Список деталей'!E184, "")</f>
        <v/>
      </c>
      <c r="E176" s="24"/>
      <c r="F176" s="25" t="str">
        <f>IF(ISBLANK('Список деталей'!F184),"",VLOOKUP('Список деталей'!F184,Справочник!$A$4:$D$11,4,0))</f>
        <v/>
      </c>
      <c r="G176" s="25" t="str">
        <f>IF(ISBLANK('Список деталей'!G184),"",VLOOKUP('Список деталей'!G184,Справочник!$A$4:$D$11,4,0))</f>
        <v/>
      </c>
      <c r="H176" s="25" t="str">
        <f>IF(ISBLANK('Список деталей'!H184),"",VLOOKUP('Список деталей'!H184,Справочник!$A$4:$D$11,4,0))</f>
        <v/>
      </c>
      <c r="I176" s="25" t="str">
        <f>IF(ISBLANK('Список деталей'!I184),"",VLOOKUP('Список деталей'!I184,Справочник!$A$4:$D$11,4,0))</f>
        <v/>
      </c>
      <c r="J176" s="24" t="str">
        <f>IF(ISBLANK('Список деталей'!K184),"",'Список деталей'!K184)</f>
        <v/>
      </c>
      <c r="K176" s="3" t="str">
        <f>IF(ISNUMBER('Список деталей'!C184), 'Список деталей'!$B$5,"")</f>
        <v/>
      </c>
      <c r="L176" s="3" t="str">
        <f>IF(ISNUMBER('Список деталей'!C184), 'Список деталей'!$I$4,"")</f>
        <v/>
      </c>
    </row>
    <row r="177" spans="1:12" x14ac:dyDescent="0.45">
      <c r="A177" s="3" t="str">
        <f>IF(ISBLANK('Список деталей'!C185),"",'Список деталей'!A185)</f>
        <v/>
      </c>
      <c r="B177" s="24" t="str">
        <f>IF(ISNUMBER('Список деталей'!C185), 'Список деталей'!C185, "")</f>
        <v/>
      </c>
      <c r="C177" s="24" t="str">
        <f>IF(ISNUMBER('Список деталей'!D185), 'Список деталей'!D185, "")</f>
        <v/>
      </c>
      <c r="D177" s="24" t="str">
        <f>IF(ISNUMBER('Список деталей'!E185), 'Список деталей'!E185, "")</f>
        <v/>
      </c>
      <c r="E177" s="24"/>
      <c r="F177" s="25" t="str">
        <f>IF(ISBLANK('Список деталей'!F185),"",VLOOKUP('Список деталей'!F185,Справочник!$A$4:$D$11,4,0))</f>
        <v/>
      </c>
      <c r="G177" s="25" t="str">
        <f>IF(ISBLANK('Список деталей'!G185),"",VLOOKUP('Список деталей'!G185,Справочник!$A$4:$D$11,4,0))</f>
        <v/>
      </c>
      <c r="H177" s="25" t="str">
        <f>IF(ISBLANK('Список деталей'!H185),"",VLOOKUP('Список деталей'!H185,Справочник!$A$4:$D$11,4,0))</f>
        <v/>
      </c>
      <c r="I177" s="25" t="str">
        <f>IF(ISBLANK('Список деталей'!I185),"",VLOOKUP('Список деталей'!I185,Справочник!$A$4:$D$11,4,0))</f>
        <v/>
      </c>
      <c r="J177" s="24" t="str">
        <f>IF(ISBLANK('Список деталей'!K185),"",'Список деталей'!K185)</f>
        <v/>
      </c>
      <c r="K177" s="3" t="str">
        <f>IF(ISNUMBER('Список деталей'!C185), 'Список деталей'!$B$5,"")</f>
        <v/>
      </c>
      <c r="L177" s="3" t="str">
        <f>IF(ISNUMBER('Список деталей'!C185), 'Список деталей'!$I$4,"")</f>
        <v/>
      </c>
    </row>
    <row r="178" spans="1:12" x14ac:dyDescent="0.45">
      <c r="A178" s="3" t="str">
        <f>IF(ISBLANK('Список деталей'!C186),"",'Список деталей'!A186)</f>
        <v/>
      </c>
      <c r="B178" s="24" t="str">
        <f>IF(ISNUMBER('Список деталей'!C186), 'Список деталей'!C186, "")</f>
        <v/>
      </c>
      <c r="C178" s="24" t="str">
        <f>IF(ISNUMBER('Список деталей'!D186), 'Список деталей'!D186, "")</f>
        <v/>
      </c>
      <c r="D178" s="24" t="str">
        <f>IF(ISNUMBER('Список деталей'!E186), 'Список деталей'!E186, "")</f>
        <v/>
      </c>
      <c r="E178" s="24"/>
      <c r="F178" s="25" t="str">
        <f>IF(ISBLANK('Список деталей'!F186),"",VLOOKUP('Список деталей'!F186,Справочник!$A$4:$D$11,4,0))</f>
        <v/>
      </c>
      <c r="G178" s="25" t="str">
        <f>IF(ISBLANK('Список деталей'!G186),"",VLOOKUP('Список деталей'!G186,Справочник!$A$4:$D$11,4,0))</f>
        <v/>
      </c>
      <c r="H178" s="25" t="str">
        <f>IF(ISBLANK('Список деталей'!H186),"",VLOOKUP('Список деталей'!H186,Справочник!$A$4:$D$11,4,0))</f>
        <v/>
      </c>
      <c r="I178" s="25" t="str">
        <f>IF(ISBLANK('Список деталей'!I186),"",VLOOKUP('Список деталей'!I186,Справочник!$A$4:$D$11,4,0))</f>
        <v/>
      </c>
      <c r="J178" s="24" t="str">
        <f>IF(ISBLANK('Список деталей'!K186),"",'Список деталей'!K186)</f>
        <v/>
      </c>
      <c r="K178" s="3" t="str">
        <f>IF(ISNUMBER('Список деталей'!C186), 'Список деталей'!$B$5,"")</f>
        <v/>
      </c>
      <c r="L178" s="3" t="str">
        <f>IF(ISNUMBER('Список деталей'!C186), 'Список деталей'!$I$4,"")</f>
        <v/>
      </c>
    </row>
    <row r="179" spans="1:12" x14ac:dyDescent="0.45">
      <c r="A179" s="3" t="str">
        <f>IF(ISBLANK('Список деталей'!C187),"",'Список деталей'!A187)</f>
        <v/>
      </c>
      <c r="B179" s="24" t="str">
        <f>IF(ISNUMBER('Список деталей'!C187), 'Список деталей'!C187, "")</f>
        <v/>
      </c>
      <c r="C179" s="24" t="str">
        <f>IF(ISNUMBER('Список деталей'!D187), 'Список деталей'!D187, "")</f>
        <v/>
      </c>
      <c r="D179" s="24" t="str">
        <f>IF(ISNUMBER('Список деталей'!E187), 'Список деталей'!E187, "")</f>
        <v/>
      </c>
      <c r="E179" s="24"/>
      <c r="F179" s="25" t="str">
        <f>IF(ISBLANK('Список деталей'!F187),"",VLOOKUP('Список деталей'!F187,Справочник!$A$4:$D$11,4,0))</f>
        <v/>
      </c>
      <c r="G179" s="25" t="str">
        <f>IF(ISBLANK('Список деталей'!G187),"",VLOOKUP('Список деталей'!G187,Справочник!$A$4:$D$11,4,0))</f>
        <v/>
      </c>
      <c r="H179" s="25" t="str">
        <f>IF(ISBLANK('Список деталей'!H187),"",VLOOKUP('Список деталей'!H187,Справочник!$A$4:$D$11,4,0))</f>
        <v/>
      </c>
      <c r="I179" s="25" t="str">
        <f>IF(ISBLANK('Список деталей'!I187),"",VLOOKUP('Список деталей'!I187,Справочник!$A$4:$D$11,4,0))</f>
        <v/>
      </c>
      <c r="J179" s="24" t="str">
        <f>IF(ISBLANK('Список деталей'!K187),"",'Список деталей'!K187)</f>
        <v/>
      </c>
      <c r="K179" s="3" t="str">
        <f>IF(ISNUMBER('Список деталей'!C187), 'Список деталей'!$B$5,"")</f>
        <v/>
      </c>
      <c r="L179" s="3" t="str">
        <f>IF(ISNUMBER('Список деталей'!C187), 'Список деталей'!$I$4,"")</f>
        <v/>
      </c>
    </row>
    <row r="180" spans="1:12" x14ac:dyDescent="0.45">
      <c r="A180" s="3" t="str">
        <f>IF(ISBLANK('Список деталей'!C188),"",'Список деталей'!A188)</f>
        <v/>
      </c>
      <c r="B180" s="24" t="str">
        <f>IF(ISNUMBER('Список деталей'!C188), 'Список деталей'!C188, "")</f>
        <v/>
      </c>
      <c r="C180" s="24" t="str">
        <f>IF(ISNUMBER('Список деталей'!D188), 'Список деталей'!D188, "")</f>
        <v/>
      </c>
      <c r="D180" s="24" t="str">
        <f>IF(ISNUMBER('Список деталей'!E188), 'Список деталей'!E188, "")</f>
        <v/>
      </c>
      <c r="E180" s="24"/>
      <c r="F180" s="25" t="str">
        <f>IF(ISBLANK('Список деталей'!F188),"",VLOOKUP('Список деталей'!F188,Справочник!$A$4:$D$11,4,0))</f>
        <v/>
      </c>
      <c r="G180" s="25" t="str">
        <f>IF(ISBLANK('Список деталей'!G188),"",VLOOKUP('Список деталей'!G188,Справочник!$A$4:$D$11,4,0))</f>
        <v/>
      </c>
      <c r="H180" s="25" t="str">
        <f>IF(ISBLANK('Список деталей'!H188),"",VLOOKUP('Список деталей'!H188,Справочник!$A$4:$D$11,4,0))</f>
        <v/>
      </c>
      <c r="I180" s="25" t="str">
        <f>IF(ISBLANK('Список деталей'!I188),"",VLOOKUP('Список деталей'!I188,Справочник!$A$4:$D$11,4,0))</f>
        <v/>
      </c>
      <c r="J180" s="24" t="str">
        <f>IF(ISBLANK('Список деталей'!K188),"",'Список деталей'!K188)</f>
        <v/>
      </c>
      <c r="K180" s="3" t="str">
        <f>IF(ISNUMBER('Список деталей'!C188), 'Список деталей'!$B$5,"")</f>
        <v/>
      </c>
      <c r="L180" s="3" t="str">
        <f>IF(ISNUMBER('Список деталей'!C188), 'Список деталей'!$I$4,"")</f>
        <v/>
      </c>
    </row>
    <row r="181" spans="1:12" x14ac:dyDescent="0.45">
      <c r="A181" s="3" t="str">
        <f>IF(ISBLANK('Список деталей'!C189),"",'Список деталей'!A189)</f>
        <v/>
      </c>
      <c r="B181" s="24" t="str">
        <f>IF(ISNUMBER('Список деталей'!C189), 'Список деталей'!C189, "")</f>
        <v/>
      </c>
      <c r="C181" s="24" t="str">
        <f>IF(ISNUMBER('Список деталей'!D189), 'Список деталей'!D189, "")</f>
        <v/>
      </c>
      <c r="D181" s="24" t="str">
        <f>IF(ISNUMBER('Список деталей'!E189), 'Список деталей'!E189, "")</f>
        <v/>
      </c>
      <c r="E181" s="24"/>
      <c r="F181" s="25" t="str">
        <f>IF(ISBLANK('Список деталей'!F189),"",VLOOKUP('Список деталей'!F189,Справочник!$A$4:$D$11,4,0))</f>
        <v/>
      </c>
      <c r="G181" s="25" t="str">
        <f>IF(ISBLANK('Список деталей'!G189),"",VLOOKUP('Список деталей'!G189,Справочник!$A$4:$D$11,4,0))</f>
        <v/>
      </c>
      <c r="H181" s="25" t="str">
        <f>IF(ISBLANK('Список деталей'!H189),"",VLOOKUP('Список деталей'!H189,Справочник!$A$4:$D$11,4,0))</f>
        <v/>
      </c>
      <c r="I181" s="25" t="str">
        <f>IF(ISBLANK('Список деталей'!I189),"",VLOOKUP('Список деталей'!I189,Справочник!$A$4:$D$11,4,0))</f>
        <v/>
      </c>
      <c r="J181" s="24" t="str">
        <f>IF(ISBLANK('Список деталей'!K189),"",'Список деталей'!K189)</f>
        <v/>
      </c>
      <c r="K181" s="3" t="str">
        <f>IF(ISNUMBER('Список деталей'!C189), 'Список деталей'!$B$5,"")</f>
        <v/>
      </c>
      <c r="L181" s="3" t="str">
        <f>IF(ISNUMBER('Список деталей'!C189), 'Список деталей'!$I$4,"")</f>
        <v/>
      </c>
    </row>
    <row r="182" spans="1:12" x14ac:dyDescent="0.45">
      <c r="A182" s="3" t="str">
        <f>IF(ISBLANK('Список деталей'!C190),"",'Список деталей'!A190)</f>
        <v/>
      </c>
      <c r="B182" s="24" t="str">
        <f>IF(ISNUMBER('Список деталей'!C190), 'Список деталей'!C190, "")</f>
        <v/>
      </c>
      <c r="C182" s="24" t="str">
        <f>IF(ISNUMBER('Список деталей'!D190), 'Список деталей'!D190, "")</f>
        <v/>
      </c>
      <c r="D182" s="24" t="str">
        <f>IF(ISNUMBER('Список деталей'!E190), 'Список деталей'!E190, "")</f>
        <v/>
      </c>
      <c r="E182" s="24"/>
      <c r="F182" s="25" t="str">
        <f>IF(ISBLANK('Список деталей'!F190),"",VLOOKUP('Список деталей'!F190,Справочник!$A$4:$D$11,4,0))</f>
        <v/>
      </c>
      <c r="G182" s="25" t="str">
        <f>IF(ISBLANK('Список деталей'!G190),"",VLOOKUP('Список деталей'!G190,Справочник!$A$4:$D$11,4,0))</f>
        <v/>
      </c>
      <c r="H182" s="25" t="str">
        <f>IF(ISBLANK('Список деталей'!H190),"",VLOOKUP('Список деталей'!H190,Справочник!$A$4:$D$11,4,0))</f>
        <v/>
      </c>
      <c r="I182" s="25" t="str">
        <f>IF(ISBLANK('Список деталей'!I190),"",VLOOKUP('Список деталей'!I190,Справочник!$A$4:$D$11,4,0))</f>
        <v/>
      </c>
      <c r="J182" s="24" t="str">
        <f>IF(ISBLANK('Список деталей'!K190),"",'Список деталей'!K190)</f>
        <v/>
      </c>
      <c r="K182" s="3" t="str">
        <f>IF(ISNUMBER('Список деталей'!C190), 'Список деталей'!$B$5,"")</f>
        <v/>
      </c>
      <c r="L182" s="3" t="str">
        <f>IF(ISNUMBER('Список деталей'!C190), 'Список деталей'!$I$4,"")</f>
        <v/>
      </c>
    </row>
    <row r="183" spans="1:12" x14ac:dyDescent="0.45">
      <c r="A183" s="3" t="str">
        <f>IF(ISBLANK('Список деталей'!C191),"",'Список деталей'!A191)</f>
        <v/>
      </c>
      <c r="B183" s="24" t="str">
        <f>IF(ISNUMBER('Список деталей'!C191), 'Список деталей'!C191, "")</f>
        <v/>
      </c>
      <c r="C183" s="24" t="str">
        <f>IF(ISNUMBER('Список деталей'!D191), 'Список деталей'!D191, "")</f>
        <v/>
      </c>
      <c r="D183" s="24" t="str">
        <f>IF(ISNUMBER('Список деталей'!E191), 'Список деталей'!E191, "")</f>
        <v/>
      </c>
      <c r="E183" s="24"/>
      <c r="F183" s="25" t="str">
        <f>IF(ISBLANK('Список деталей'!F191),"",VLOOKUP('Список деталей'!F191,Справочник!$A$4:$D$11,4,0))</f>
        <v/>
      </c>
      <c r="G183" s="25" t="str">
        <f>IF(ISBLANK('Список деталей'!G191),"",VLOOKUP('Список деталей'!G191,Справочник!$A$4:$D$11,4,0))</f>
        <v/>
      </c>
      <c r="H183" s="25" t="str">
        <f>IF(ISBLANK('Список деталей'!H191),"",VLOOKUP('Список деталей'!H191,Справочник!$A$4:$D$11,4,0))</f>
        <v/>
      </c>
      <c r="I183" s="25" t="str">
        <f>IF(ISBLANK('Список деталей'!I191),"",VLOOKUP('Список деталей'!I191,Справочник!$A$4:$D$11,4,0))</f>
        <v/>
      </c>
      <c r="J183" s="24" t="str">
        <f>IF(ISBLANK('Список деталей'!K191),"",'Список деталей'!K191)</f>
        <v/>
      </c>
      <c r="K183" s="3" t="str">
        <f>IF(ISNUMBER('Список деталей'!C191), 'Список деталей'!$B$5,"")</f>
        <v/>
      </c>
      <c r="L183" s="3" t="str">
        <f>IF(ISNUMBER('Список деталей'!C191), 'Список деталей'!$I$4,"")</f>
        <v/>
      </c>
    </row>
    <row r="184" spans="1:12" x14ac:dyDescent="0.45">
      <c r="A184" s="3" t="str">
        <f>IF(ISBLANK('Список деталей'!C192),"",'Список деталей'!A192)</f>
        <v/>
      </c>
      <c r="B184" s="24" t="str">
        <f>IF(ISNUMBER('Список деталей'!C192), 'Список деталей'!C192, "")</f>
        <v/>
      </c>
      <c r="C184" s="24" t="str">
        <f>IF(ISNUMBER('Список деталей'!D192), 'Список деталей'!D192, "")</f>
        <v/>
      </c>
      <c r="D184" s="24" t="str">
        <f>IF(ISNUMBER('Список деталей'!E192), 'Список деталей'!E192, "")</f>
        <v/>
      </c>
      <c r="E184" s="24"/>
      <c r="F184" s="25" t="str">
        <f>IF(ISBLANK('Список деталей'!F192),"",VLOOKUP('Список деталей'!F192,Справочник!$A$4:$D$11,4,0))</f>
        <v/>
      </c>
      <c r="G184" s="25" t="str">
        <f>IF(ISBLANK('Список деталей'!G192),"",VLOOKUP('Список деталей'!G192,Справочник!$A$4:$D$11,4,0))</f>
        <v/>
      </c>
      <c r="H184" s="25" t="str">
        <f>IF(ISBLANK('Список деталей'!H192),"",VLOOKUP('Список деталей'!H192,Справочник!$A$4:$D$11,4,0))</f>
        <v/>
      </c>
      <c r="I184" s="25" t="str">
        <f>IF(ISBLANK('Список деталей'!I192),"",VLOOKUP('Список деталей'!I192,Справочник!$A$4:$D$11,4,0))</f>
        <v/>
      </c>
      <c r="J184" s="24" t="str">
        <f>IF(ISBLANK('Список деталей'!K192),"",'Список деталей'!K192)</f>
        <v/>
      </c>
      <c r="K184" s="3" t="str">
        <f>IF(ISNUMBER('Список деталей'!C192), 'Список деталей'!$B$5,"")</f>
        <v/>
      </c>
      <c r="L184" s="3" t="str">
        <f>IF(ISNUMBER('Список деталей'!C192), 'Список деталей'!$I$4,"")</f>
        <v/>
      </c>
    </row>
    <row r="185" spans="1:12" x14ac:dyDescent="0.45">
      <c r="A185" s="3" t="str">
        <f>IF(ISBLANK('Список деталей'!C193),"",'Список деталей'!A193)</f>
        <v/>
      </c>
      <c r="B185" s="24" t="str">
        <f>IF(ISNUMBER('Список деталей'!C193), 'Список деталей'!C193, "")</f>
        <v/>
      </c>
      <c r="C185" s="24" t="str">
        <f>IF(ISNUMBER('Список деталей'!D193), 'Список деталей'!D193, "")</f>
        <v/>
      </c>
      <c r="D185" s="24" t="str">
        <f>IF(ISNUMBER('Список деталей'!E193), 'Список деталей'!E193, "")</f>
        <v/>
      </c>
      <c r="E185" s="24"/>
      <c r="F185" s="25" t="str">
        <f>IF(ISBLANK('Список деталей'!F193),"",VLOOKUP('Список деталей'!F193,Справочник!$A$4:$D$11,4,0))</f>
        <v/>
      </c>
      <c r="G185" s="25" t="str">
        <f>IF(ISBLANK('Список деталей'!G193),"",VLOOKUP('Список деталей'!G193,Справочник!$A$4:$D$11,4,0))</f>
        <v/>
      </c>
      <c r="H185" s="25" t="str">
        <f>IF(ISBLANK('Список деталей'!H193),"",VLOOKUP('Список деталей'!H193,Справочник!$A$4:$D$11,4,0))</f>
        <v/>
      </c>
      <c r="I185" s="25" t="str">
        <f>IF(ISBLANK('Список деталей'!I193),"",VLOOKUP('Список деталей'!I193,Справочник!$A$4:$D$11,4,0))</f>
        <v/>
      </c>
      <c r="J185" s="24" t="str">
        <f>IF(ISBLANK('Список деталей'!K193),"",'Список деталей'!K193)</f>
        <v/>
      </c>
      <c r="K185" s="3" t="str">
        <f>IF(ISNUMBER('Список деталей'!C193), 'Список деталей'!$B$5,"")</f>
        <v/>
      </c>
      <c r="L185" s="3" t="str">
        <f>IF(ISNUMBER('Список деталей'!C193), 'Список деталей'!$I$4,"")</f>
        <v/>
      </c>
    </row>
    <row r="186" spans="1:12" x14ac:dyDescent="0.45">
      <c r="A186" s="3" t="str">
        <f>IF(ISBLANK('Список деталей'!C194),"",'Список деталей'!A194)</f>
        <v/>
      </c>
      <c r="B186" s="24" t="str">
        <f>IF(ISNUMBER('Список деталей'!C194), 'Список деталей'!C194, "")</f>
        <v/>
      </c>
      <c r="C186" s="24" t="str">
        <f>IF(ISNUMBER('Список деталей'!D194), 'Список деталей'!D194, "")</f>
        <v/>
      </c>
      <c r="D186" s="24" t="str">
        <f>IF(ISNUMBER('Список деталей'!E194), 'Список деталей'!E194, "")</f>
        <v/>
      </c>
      <c r="E186" s="24"/>
      <c r="F186" s="25" t="str">
        <f>IF(ISBLANK('Список деталей'!F194),"",VLOOKUP('Список деталей'!F194,Справочник!$A$4:$D$11,4,0))</f>
        <v/>
      </c>
      <c r="G186" s="25" t="str">
        <f>IF(ISBLANK('Список деталей'!G194),"",VLOOKUP('Список деталей'!G194,Справочник!$A$4:$D$11,4,0))</f>
        <v/>
      </c>
      <c r="H186" s="25" t="str">
        <f>IF(ISBLANK('Список деталей'!H194),"",VLOOKUP('Список деталей'!H194,Справочник!$A$4:$D$11,4,0))</f>
        <v/>
      </c>
      <c r="I186" s="25" t="str">
        <f>IF(ISBLANK('Список деталей'!I194),"",VLOOKUP('Список деталей'!I194,Справочник!$A$4:$D$11,4,0))</f>
        <v/>
      </c>
      <c r="J186" s="24" t="str">
        <f>IF(ISBLANK('Список деталей'!K194),"",'Список деталей'!K194)</f>
        <v/>
      </c>
      <c r="K186" s="3" t="str">
        <f>IF(ISNUMBER('Список деталей'!C194), 'Список деталей'!$B$5,"")</f>
        <v/>
      </c>
      <c r="L186" s="3" t="str">
        <f>IF(ISNUMBER('Список деталей'!C194), 'Список деталей'!$I$4,"")</f>
        <v/>
      </c>
    </row>
  </sheetData>
  <sheetProtection algorithmName="SHA-512" hashValue="UXvxTPGM78uKSI6mzA3y7RzW08yvFSp2detVwTZi4YMaX+VwwRj8foAwtqwQCUr0ixeVV+O1zAIdES08rvd98A==" saltValue="F7fijSGdXl7SFR37QLXCJ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286"/>
  <sheetViews>
    <sheetView topLeftCell="D1" zoomScale="70" zoomScaleNormal="70" workbookViewId="0">
      <selection activeCell="G22" sqref="G22"/>
    </sheetView>
  </sheetViews>
  <sheetFormatPr defaultColWidth="10" defaultRowHeight="14.25" x14ac:dyDescent="0.45"/>
  <cols>
    <col min="1" max="1" width="11.265625" style="3" customWidth="1"/>
    <col min="2" max="2" width="21.265625" style="3" customWidth="1"/>
    <col min="3" max="3" width="23.86328125" style="3" customWidth="1"/>
    <col min="4" max="4" width="13.265625" style="3" customWidth="1"/>
    <col min="5" max="7" width="8.73046875" style="3"/>
    <col min="8" max="8" width="24.59765625" style="3" customWidth="1"/>
    <col min="9" max="9" width="10.1328125" style="3" customWidth="1"/>
    <col min="10" max="11" width="8.73046875" style="3"/>
    <col min="12" max="12" width="17.1328125" style="3" customWidth="1"/>
    <col min="13" max="13" width="18.59765625" style="3" customWidth="1"/>
    <col min="14" max="17" width="9.1328125" style="3" customWidth="1"/>
    <col min="18" max="18" width="8.73046875" style="3"/>
    <col min="22" max="22" width="14.1328125" customWidth="1"/>
    <col min="23" max="23" width="10.59765625" customWidth="1"/>
  </cols>
  <sheetData>
    <row r="1" spans="1:24" x14ac:dyDescent="0.45">
      <c r="A1" s="26" t="s">
        <v>86</v>
      </c>
      <c r="B1" s="26" t="s">
        <v>87</v>
      </c>
      <c r="C1" s="26" t="s">
        <v>88</v>
      </c>
      <c r="D1" s="26" t="s">
        <v>89</v>
      </c>
      <c r="E1" s="26" t="s">
        <v>32</v>
      </c>
      <c r="F1" s="26" t="s">
        <v>90</v>
      </c>
      <c r="G1" s="26" t="s">
        <v>91</v>
      </c>
      <c r="H1" s="26" t="s">
        <v>92</v>
      </c>
      <c r="I1" s="26" t="s">
        <v>93</v>
      </c>
      <c r="J1" s="26" t="s">
        <v>94</v>
      </c>
      <c r="K1" s="26" t="s">
        <v>95</v>
      </c>
      <c r="L1" s="26" t="s">
        <v>96</v>
      </c>
      <c r="M1" s="26" t="s">
        <v>97</v>
      </c>
      <c r="N1" s="26" t="s">
        <v>98</v>
      </c>
      <c r="O1" s="26" t="s">
        <v>99</v>
      </c>
      <c r="P1" s="26" t="s">
        <v>100</v>
      </c>
      <c r="Q1" s="41" t="s">
        <v>101</v>
      </c>
      <c r="R1" s="41" t="s">
        <v>102</v>
      </c>
      <c r="S1" s="40" t="s">
        <v>125</v>
      </c>
      <c r="T1" s="40" t="s">
        <v>126</v>
      </c>
      <c r="U1" s="26" t="s">
        <v>77</v>
      </c>
      <c r="V1" s="26" t="s">
        <v>136</v>
      </c>
      <c r="W1" s="40" t="s">
        <v>137</v>
      </c>
    </row>
    <row r="2" spans="1:24" x14ac:dyDescent="0.45">
      <c r="A2" s="3">
        <f>IF(ISNUMBER('Список деталей'!A10), 'Список деталей'!A10, "")</f>
        <v>1</v>
      </c>
      <c r="B2" s="30" t="str">
        <f>IF(ISBLANK('Список деталей'!B10),"",'Список деталей'!B10)</f>
        <v>Крыша</v>
      </c>
      <c r="C2" s="3" t="str">
        <f>IF(ISNUMBER('Список деталей'!C10), $W$4,"")</f>
        <v xml:space="preserve">лдсп фон бежевый  </v>
      </c>
      <c r="D2" s="3">
        <f>IF(ISNUMBER('Список деталей'!C10), 'Список деталей'!$I$4,"")</f>
        <v>16</v>
      </c>
      <c r="E2" s="24">
        <f>IF(ISNUMBER('Список деталей'!E10), 'Список деталей'!E10, "")</f>
        <v>1</v>
      </c>
      <c r="F2" s="24">
        <f>IF(ISNUMBER('Список деталей'!C10), 'Список деталей'!C10, "")</f>
        <v>100</v>
      </c>
      <c r="G2" s="24">
        <f>IF(ISNUMBER('Список деталей'!D10), 'Список деталей'!D10, "")</f>
        <v>100</v>
      </c>
      <c r="H2" s="3" t="str">
        <f t="shared" ref="H2:H65" si="0">U2&amp;" "&amp;M2&amp;" "&amp;N2&amp;" "&amp;O2&amp;" "&amp;P2</f>
        <v xml:space="preserve">    </v>
      </c>
      <c r="I2" s="3" t="str">
        <f>IF(ISBLANK('Список деталей'!F10),"",VLOOKUP('Список деталей'!F10,обозначениКромки,4,0))</f>
        <v xml:space="preserve">Х Х Х 1 Х Х Х </v>
      </c>
      <c r="J2" s="25" t="str">
        <f>IF(ISBLANK('Список деталей'!G10),"",VLOOKUP('Список деталей'!G10,обозначениКромки,4,0))</f>
        <v xml:space="preserve">Х Х Х 1 Х Х Х </v>
      </c>
      <c r="K2" s="25" t="str">
        <f>IF(ISBLANK('Список деталей'!H10),"",VLOOKUP('Список деталей'!H10,обозначениКромки,4,0))</f>
        <v xml:space="preserve">Х Х Х 1 Х Х Х </v>
      </c>
      <c r="L2" s="25" t="str">
        <f>IF(ISBLANK('Список деталей'!I10),"",VLOOKUP('Список деталей'!I10,обозначениКромки,4,0))</f>
        <v>___ 04 ___</v>
      </c>
      <c r="M2" s="24" t="str">
        <f>IF(ISBLANK('Список деталей'!Y10),"",('Список деталей'!Y10))</f>
        <v/>
      </c>
      <c r="N2" s="3" t="str">
        <f>IF(ISBLANK('Список деталей'!Z10),"",('Список деталей'!Z10))</f>
        <v/>
      </c>
      <c r="O2" s="3" t="str">
        <f>IF(ISBLANK('Список деталей'!AA10),"",('Список деталей'!AA10))</f>
        <v/>
      </c>
      <c r="P2" s="3" t="str">
        <f>IF(ISBLANK('Список деталей'!AB10),"",('Список деталей'!AB10))</f>
        <v/>
      </c>
      <c r="Q2" s="45">
        <f>VLOOKUP(IF(ISBLANK('Список деталей'!H10)=TRUE,7,'Список деталей'!H10),кромка,2,0)+VLOOKUP(IF(ISBLANK('Список деталей'!I10)=TRUE,7,'Список деталей'!I10),кромка,2,0)+'Список деталей'!C10</f>
        <v>101.5</v>
      </c>
      <c r="R2" s="45">
        <f>VLOOKUP(IF(ISBLANK('Список деталей'!F10)=TRUE,7,'Список деталей'!F10),кромка,2,0)+VLOOKUP(IF(ISBLANK('Список деталей'!G10)=TRUE,7,'Список деталей'!G10),кромка,2,0)+'Список деталей'!D10</f>
        <v>102</v>
      </c>
      <c r="S2" s="42">
        <f>IF('Список деталей'!H10="",0,1)+IF('Список деталей'!I10="",0,1)+'Список деталей'!C10</f>
        <v>102</v>
      </c>
      <c r="T2" s="42">
        <f>IF('Список деталей'!F10="",0,1)+IF('Список деталей'!G10="",0,1)+'Список деталей'!D10</f>
        <v>102</v>
      </c>
      <c r="U2" s="3" t="str">
        <f>IF(ISBLANK('Список деталей'!K10),"",'Список деталей'!K10)</f>
        <v/>
      </c>
      <c r="V2" s="3" t="str">
        <f>IF(AND('Список деталей'!C10&gt;849,'Список деталей'!D10&gt;849)=TRUE,1*'Список деталей'!E10,"")</f>
        <v/>
      </c>
      <c r="W2" s="44">
        <f>SUM(V:V)</f>
        <v>0</v>
      </c>
      <c r="X2" s="44" t="str">
        <f>IF(W2=0,"",W2&amp;"шт")</f>
        <v/>
      </c>
    </row>
    <row r="3" spans="1:24" x14ac:dyDescent="0.45">
      <c r="A3" s="3">
        <f>IF(ISNUMBER('Список деталей'!A11), 'Список деталей'!A11, "")</f>
        <v>2</v>
      </c>
      <c r="B3" s="30" t="str">
        <f>IF(ISBLANK('Список деталей'!B11),"",'Список деталей'!B11)</f>
        <v>стойка</v>
      </c>
      <c r="C3" s="3" t="str">
        <f>IF(ISNUMBER('Список деталей'!C11), $W$4,"")</f>
        <v xml:space="preserve">лдсп фон бежевый  </v>
      </c>
      <c r="D3" s="3">
        <f>IF(ISNUMBER('Список деталей'!C11), 'Список деталей'!$I$4,"")</f>
        <v>16</v>
      </c>
      <c r="E3" s="24">
        <f>IF(ISNUMBER('Список деталей'!E11), 'Список деталей'!E11, "")</f>
        <v>2</v>
      </c>
      <c r="F3" s="24">
        <f>IF(ISNUMBER('Список деталей'!C11), 'Список деталей'!C11, "")</f>
        <v>699</v>
      </c>
      <c r="G3" s="24">
        <f>IF(ISNUMBER('Список деталей'!D11), 'Список деталей'!D11, "")</f>
        <v>122</v>
      </c>
      <c r="H3" s="3" t="str">
        <f t="shared" si="0"/>
        <v xml:space="preserve">    </v>
      </c>
      <c r="I3" s="3" t="str">
        <f>IF(ISBLANK('Список деталей'!F11),"",VLOOKUP('Список деталей'!F11,обозначениКромки,4,0))</f>
        <v>___ 04 ___</v>
      </c>
      <c r="J3" s="25" t="str">
        <f>IF(ISBLANK('Список деталей'!G11),"",VLOOKUP('Список деталей'!G11,обозначениКромки,4,0))</f>
        <v xml:space="preserve">Х Х Х 1 Х Х Х </v>
      </c>
      <c r="K3" s="25" t="str">
        <f>IF(ISBLANK('Список деталей'!H11),"",VLOOKUP('Список деталей'!H11,обозначениКромки,4,0))</f>
        <v xml:space="preserve">Х Х Х 1 Х Х Х </v>
      </c>
      <c r="L3" s="25" t="str">
        <f>IF(ISBLANK('Список деталей'!I11),"",VLOOKUP('Список деталей'!I11,обозначениКромки,4,0))</f>
        <v xml:space="preserve">Х Х Х 1 Х Х Х </v>
      </c>
      <c r="M3" s="24" t="str">
        <f>IF(ISBLANK('Список деталей'!Y11),"",('Список деталей'!Y11))</f>
        <v/>
      </c>
      <c r="N3" s="3" t="str">
        <f>IF(ISBLANK('Список деталей'!Z11),"",('Список деталей'!Z11))</f>
        <v/>
      </c>
      <c r="O3" s="3" t="str">
        <f>IF(ISBLANK('Список деталей'!AA11),"",('Список деталей'!AA11))</f>
        <v/>
      </c>
      <c r="P3" s="3" t="str">
        <f>IF(ISBLANK('Список деталей'!AB11),"",('Список деталей'!AB11))</f>
        <v/>
      </c>
      <c r="Q3" s="45">
        <f>VLOOKUP(IF(ISBLANK('Список деталей'!H11)=TRUE,7,'Список деталей'!H11),кромка,2,0)+VLOOKUP(IF(ISBLANK('Список деталей'!I11)=TRUE,7,'Список деталей'!I11),кромка,2,0)+'Список деталей'!C11</f>
        <v>701</v>
      </c>
      <c r="R3" s="45">
        <f>VLOOKUP(IF(ISBLANK('Список деталей'!F11)=TRUE,7,'Список деталей'!F11),кромка,2,0)+VLOOKUP(IF(ISBLANK('Список деталей'!G11)=TRUE,7,'Список деталей'!G11),кромка,2,0)+'Список деталей'!D11</f>
        <v>123.5</v>
      </c>
      <c r="S3" s="42">
        <f>IF('Список деталей'!H11="",0,1)+IF('Список деталей'!I11="",0,1)+'Список деталей'!C11</f>
        <v>701</v>
      </c>
      <c r="T3" s="42">
        <f>IF('Список деталей'!F11="",0,1)+IF('Список деталей'!G11="",0,1)+'Список деталей'!D11</f>
        <v>124</v>
      </c>
      <c r="U3" s="3" t="str">
        <f>IF(ISBLANK('Список деталей'!K11),"",'Список деталей'!K11)</f>
        <v/>
      </c>
      <c r="V3" s="3" t="str">
        <f>IF(AND('Список деталей'!C11&gt;849,'Список деталей'!D11&gt;849)=TRUE,1*'Список деталей'!E11,"")</f>
        <v/>
      </c>
      <c r="W3" t="s">
        <v>138</v>
      </c>
    </row>
    <row r="4" spans="1:24" x14ac:dyDescent="0.45">
      <c r="A4" s="3">
        <f>IF(ISNUMBER('Список деталей'!A12), 'Список деталей'!A12, "")</f>
        <v>3</v>
      </c>
      <c r="B4" s="30" t="str">
        <f>IF(ISBLANK('Список деталей'!B12),"",'Список деталей'!B12)</f>
        <v>дно</v>
      </c>
      <c r="C4" s="3" t="str">
        <f>IF(ISNUMBER('Список деталей'!C12), $W$4,"")</f>
        <v xml:space="preserve">лдсп фон бежевый  </v>
      </c>
      <c r="D4" s="3">
        <f>IF(ISNUMBER('Список деталей'!C12), 'Список деталей'!$I$4,"")</f>
        <v>16</v>
      </c>
      <c r="E4" s="24">
        <f>IF(ISNUMBER('Список деталей'!E12), 'Список деталей'!E12, "")</f>
        <v>2</v>
      </c>
      <c r="F4" s="24">
        <f>IF(ISNUMBER('Список деталей'!C12), 'Список деталей'!C12, "")</f>
        <v>200</v>
      </c>
      <c r="G4" s="24">
        <f>IF(ISNUMBER('Список деталей'!D12), 'Список деталей'!D12, "")</f>
        <v>400</v>
      </c>
      <c r="H4" s="3" t="str">
        <f t="shared" si="0"/>
        <v xml:space="preserve">*32    </v>
      </c>
      <c r="I4" s="3" t="str">
        <f>IF(ISBLANK('Список деталей'!F12),"",VLOOKUP('Список деталей'!F12,обозначениКромки,4,0))</f>
        <v xml:space="preserve">Х Х Х 1*35 Х Х Х </v>
      </c>
      <c r="J4" s="25" t="str">
        <f>IF(ISBLANK('Список деталей'!G12),"",VLOOKUP('Список деталей'!G12,обозначениКромки,4,0))</f>
        <v>___04 *35___</v>
      </c>
      <c r="K4" s="25" t="str">
        <f>IF(ISBLANK('Список деталей'!H12),"",VLOOKUP('Список деталей'!H12,обозначениКромки,4,0))</f>
        <v xml:space="preserve">Х Х Х 1*35 Х Х Х </v>
      </c>
      <c r="L4" s="25" t="str">
        <f>IF(ISBLANK('Список деталей'!I12),"",VLOOKUP('Список деталей'!I12,обозначениКромки,4,0))</f>
        <v xml:space="preserve">Х Х Х 1*35 Х Х Х </v>
      </c>
      <c r="M4" s="24" t="str">
        <f>IF(ISBLANK('Список деталей'!Y12),"",('Список деталей'!Y12))</f>
        <v/>
      </c>
      <c r="N4" s="3" t="str">
        <f>IF(ISBLANK('Список деталей'!Z12),"",('Список деталей'!Z12))</f>
        <v/>
      </c>
      <c r="O4" s="3" t="str">
        <f>IF(ISBLANK('Список деталей'!AA12),"",('Список деталей'!AA12))</f>
        <v/>
      </c>
      <c r="P4" s="3" t="str">
        <f>IF(ISBLANK('Список деталей'!AB12),"",('Список деталей'!AB12))</f>
        <v/>
      </c>
      <c r="Q4" s="45">
        <f>VLOOKUP(IF(ISBLANK('Список деталей'!H12)=TRUE,7,'Список деталей'!H12),кромка,2,0)+VLOOKUP(IF(ISBLANK('Список деталей'!I12)=TRUE,7,'Список деталей'!I12),кромка,2,0)+'Список деталей'!C12</f>
        <v>202</v>
      </c>
      <c r="R4" s="45">
        <f>VLOOKUP(IF(ISBLANK('Список деталей'!F12)=TRUE,7,'Список деталей'!F12),кромка,2,0)+VLOOKUP(IF(ISBLANK('Список деталей'!G12)=TRUE,7,'Список деталей'!G12),кромка,2,0)+'Список деталей'!D12</f>
        <v>401.5</v>
      </c>
      <c r="S4" s="42">
        <f>IF('Список деталей'!H12="",0,1)+IF('Список деталей'!I12="",0,1)+'Список деталей'!C12</f>
        <v>202</v>
      </c>
      <c r="T4" s="42">
        <f>IF('Список деталей'!F12="",0,1)+IF('Список деталей'!G12="",0,1)+'Список деталей'!D12</f>
        <v>402</v>
      </c>
      <c r="U4" s="3" t="str">
        <f>IF(ISBLANK('Список деталей'!K12),"",'Список деталей'!K12)</f>
        <v>*32</v>
      </c>
      <c r="V4" s="3" t="str">
        <f>IF(AND('Список деталей'!C12&gt;849,'Список деталей'!D12&gt;849)=TRUE,1*'Список деталей'!E12,"")</f>
        <v/>
      </c>
      <c r="W4" s="44" t="str">
        <f>'Список деталей'!$B$5&amp;" "&amp;IF(W2&gt;0,"БОЛЬШАЯ ДЕТАЛЬ","")&amp;" "&amp;X2</f>
        <v xml:space="preserve">лдсп фон бежевый  </v>
      </c>
    </row>
    <row r="5" spans="1:24" x14ac:dyDescent="0.45">
      <c r="A5" s="3">
        <f>IF(ISNUMBER('Список деталей'!A13), 'Список деталей'!A13, "")</f>
        <v>4</v>
      </c>
      <c r="B5" s="30" t="str">
        <f>IF(ISBLANK('Список деталей'!B13),"",'Список деталей'!B13)</f>
        <v/>
      </c>
      <c r="C5" s="3" t="str">
        <f>IF(ISNUMBER('Список деталей'!C13), $W$4,"")</f>
        <v xml:space="preserve">лдсп фон бежевый  </v>
      </c>
      <c r="D5" s="3">
        <f>IF(ISNUMBER('Список деталей'!C13), 'Список деталей'!$I$4,"")</f>
        <v>16</v>
      </c>
      <c r="E5" s="24">
        <f>IF(ISNUMBER('Список деталей'!E13), 'Список деталей'!E13, "")</f>
        <v>2</v>
      </c>
      <c r="F5" s="24">
        <f>IF(ISNUMBER('Список деталей'!C13), 'Список деталей'!C13, "")</f>
        <v>383</v>
      </c>
      <c r="G5" s="24">
        <f>IF(ISNUMBER('Список деталей'!D13), 'Список деталей'!D13, "")</f>
        <v>554</v>
      </c>
      <c r="H5" s="3" t="str">
        <f t="shared" si="0"/>
        <v xml:space="preserve">    </v>
      </c>
      <c r="I5" s="3" t="str">
        <f>IF(ISBLANK('Список деталей'!F13),"",VLOOKUP('Список деталей'!F13,обозначениКромки,4,0))</f>
        <v>___ 04 ___</v>
      </c>
      <c r="J5" s="25" t="str">
        <f>IF(ISBLANK('Список деталей'!G13),"",VLOOKUP('Список деталей'!G13,обозначениКромки,4,0))</f>
        <v>___ 04 ___</v>
      </c>
      <c r="K5" s="25" t="str">
        <f>IF(ISBLANK('Список деталей'!H13),"",VLOOKUP('Список деталей'!H13,обозначениКромки,4,0))</f>
        <v>___ 04 ___</v>
      </c>
      <c r="L5" s="25" t="str">
        <f>IF(ISBLANK('Список деталей'!I13),"",VLOOKUP('Список деталей'!I13,обозначениКромки,4,0))</f>
        <v>___ 04 ___</v>
      </c>
      <c r="M5" s="24" t="str">
        <f>IF(ISBLANK('Список деталей'!Y13),"",('Список деталей'!Y13))</f>
        <v/>
      </c>
      <c r="N5" s="3" t="str">
        <f>IF(ISBLANK('Список деталей'!Z13),"",('Список деталей'!Z13))</f>
        <v/>
      </c>
      <c r="O5" s="3" t="str">
        <f>IF(ISBLANK('Список деталей'!AA13),"",('Список деталей'!AA13))</f>
        <v/>
      </c>
      <c r="P5" s="3" t="str">
        <f>IF(ISBLANK('Список деталей'!AB13),"",('Список деталей'!AB13))</f>
        <v/>
      </c>
      <c r="Q5" s="45">
        <f>VLOOKUP(IF(ISBLANK('Список деталей'!H13)=TRUE,7,'Список деталей'!H13),кромка,2,0)+VLOOKUP(IF(ISBLANK('Список деталей'!I13)=TRUE,7,'Список деталей'!I13),кромка,2,0)+'Список деталей'!C13</f>
        <v>384</v>
      </c>
      <c r="R5" s="45">
        <f>VLOOKUP(IF(ISBLANK('Список деталей'!F13)=TRUE,7,'Список деталей'!F13),кромка,2,0)+VLOOKUP(IF(ISBLANK('Список деталей'!G13)=TRUE,7,'Список деталей'!G13),кромка,2,0)+'Список деталей'!D13</f>
        <v>555</v>
      </c>
      <c r="S5" s="42">
        <f>IF('Список деталей'!H13="",0,1)+IF('Список деталей'!I13="",0,1)+'Список деталей'!C13</f>
        <v>385</v>
      </c>
      <c r="T5" s="42">
        <f>IF('Список деталей'!F13="",0,1)+IF('Список деталей'!G13="",0,1)+'Список деталей'!D13</f>
        <v>556</v>
      </c>
      <c r="U5" s="3" t="str">
        <f>IF(ISBLANK('Список деталей'!K13),"",'Список деталей'!K13)</f>
        <v/>
      </c>
      <c r="V5" s="3" t="str">
        <f>IF(AND('Список деталей'!C13&gt;849,'Список деталей'!D13&gt;849)=TRUE,1*'Список деталей'!E13,"")</f>
        <v/>
      </c>
    </row>
    <row r="6" spans="1:24" x14ac:dyDescent="0.45">
      <c r="A6" s="3">
        <f>IF(ISNUMBER('Список деталей'!A14), 'Список деталей'!A14, "")</f>
        <v>5</v>
      </c>
      <c r="B6" s="30" t="str">
        <f>IF(ISBLANK('Список деталей'!B14),"",'Список деталей'!B14)</f>
        <v/>
      </c>
      <c r="C6" s="3" t="str">
        <f>IF(ISNUMBER('Список деталей'!C14), $W$4,"")</f>
        <v xml:space="preserve">лдсп фон бежевый  </v>
      </c>
      <c r="D6" s="3">
        <f>IF(ISNUMBER('Список деталей'!C14), 'Список деталей'!$I$4,"")</f>
        <v>16</v>
      </c>
      <c r="E6" s="24">
        <f>IF(ISNUMBER('Список деталей'!E14), 'Список деталей'!E14, "")</f>
        <v>2</v>
      </c>
      <c r="F6" s="24">
        <f>IF(ISNUMBER('Список деталей'!C14), 'Список деталей'!C14, "")</f>
        <v>367</v>
      </c>
      <c r="G6" s="24">
        <f>IF(ISNUMBER('Список деталей'!D14), 'Список деталей'!D14, "")</f>
        <v>554</v>
      </c>
      <c r="H6" s="3" t="str">
        <f t="shared" si="0"/>
        <v xml:space="preserve">радиус    </v>
      </c>
      <c r="I6" s="3" t="str">
        <f>IF(ISBLANK('Список деталей'!F14),"",VLOOKUP('Список деталей'!F14,обозначениКромки,4,0))</f>
        <v>___ 04 ___</v>
      </c>
      <c r="J6" s="25" t="str">
        <f>IF(ISBLANK('Список деталей'!G14),"",VLOOKUP('Список деталей'!G14,обозначениКромки,4,0))</f>
        <v>___ 04 ___</v>
      </c>
      <c r="K6" s="25" t="str">
        <f>IF(ISBLANK('Список деталей'!H14),"",VLOOKUP('Список деталей'!H14,обозначениКромки,4,0))</f>
        <v>___ 04 ___</v>
      </c>
      <c r="L6" s="25" t="str">
        <f>IF(ISBLANK('Список деталей'!I14),"",VLOOKUP('Список деталей'!I14,обозначениКромки,4,0))</f>
        <v>___ 04 ___</v>
      </c>
      <c r="M6" s="24" t="str">
        <f>IF(ISBLANK('Список деталей'!Y14),"",('Список деталей'!Y14))</f>
        <v/>
      </c>
      <c r="N6" s="3" t="str">
        <f>IF(ISBLANK('Список деталей'!Z14),"",('Список деталей'!Z14))</f>
        <v/>
      </c>
      <c r="O6" s="3" t="str">
        <f>IF(ISBLANK('Список деталей'!AA14),"",('Список деталей'!AA14))</f>
        <v/>
      </c>
      <c r="P6" s="3" t="str">
        <f>IF(ISBLANK('Список деталей'!AB14),"",('Список деталей'!AB14))</f>
        <v/>
      </c>
      <c r="Q6" s="45">
        <f>VLOOKUP(IF(ISBLANK('Список деталей'!H14)=TRUE,7,'Список деталей'!H14),кромка,2,0)+VLOOKUP(IF(ISBLANK('Список деталей'!I14)=TRUE,7,'Список деталей'!I14),кромка,2,0)+'Список деталей'!C14</f>
        <v>368</v>
      </c>
      <c r="R6" s="45">
        <f>VLOOKUP(IF(ISBLANK('Список деталей'!F14)=TRUE,7,'Список деталей'!F14),кромка,2,0)+VLOOKUP(IF(ISBLANK('Список деталей'!G14)=TRUE,7,'Список деталей'!G14),кромка,2,0)+'Список деталей'!D14</f>
        <v>555</v>
      </c>
      <c r="S6" s="42">
        <f>IF('Список деталей'!H14="",0,1)+IF('Список деталей'!I14="",0,1)+'Список деталей'!C14</f>
        <v>369</v>
      </c>
      <c r="T6" s="42">
        <f>IF('Список деталей'!F14="",0,1)+IF('Список деталей'!G14="",0,1)+'Список деталей'!D14</f>
        <v>556</v>
      </c>
      <c r="U6" s="3" t="str">
        <f>IF(ISBLANK('Список деталей'!K14),"",'Список деталей'!K14)</f>
        <v>радиус</v>
      </c>
      <c r="V6" s="3" t="str">
        <f>IF(AND('Список деталей'!C14&gt;849,'Список деталей'!D14&gt;849)=TRUE,1*'Список деталей'!E14,"")</f>
        <v/>
      </c>
      <c r="W6" s="44" t="str">
        <f>IF(W2&gt;0,"БОЛЬШАЯ ДЕТАЛЬ","")</f>
        <v/>
      </c>
    </row>
    <row r="7" spans="1:24" x14ac:dyDescent="0.45">
      <c r="A7" s="3">
        <f>IF(ISNUMBER('Список деталей'!A15), 'Список деталей'!A15, "")</f>
        <v>6</v>
      </c>
      <c r="B7" s="30" t="str">
        <f>IF(ISBLANK('Список деталей'!B15),"",'Список деталей'!B15)</f>
        <v/>
      </c>
      <c r="C7" s="3" t="str">
        <f>IF(ISNUMBER('Список деталей'!C15), $W$4,"")</f>
        <v xml:space="preserve">лдсп фон бежевый  </v>
      </c>
      <c r="D7" s="3">
        <f>IF(ISNUMBER('Список деталей'!C15), 'Список деталей'!$I$4,"")</f>
        <v>16</v>
      </c>
      <c r="E7" s="24">
        <f>IF(ISNUMBER('Список деталей'!E15), 'Список деталей'!E15, "")</f>
        <v>2</v>
      </c>
      <c r="F7" s="24">
        <f>IF(ISNUMBER('Список деталей'!C15), 'Список деталей'!C15, "")</f>
        <v>699</v>
      </c>
      <c r="G7" s="24">
        <f>IF(ISNUMBER('Список деталей'!D15), 'Список деталей'!D15, "")</f>
        <v>155</v>
      </c>
      <c r="H7" s="3" t="str">
        <f t="shared" si="0"/>
        <v xml:space="preserve">    </v>
      </c>
      <c r="I7" s="3" t="str">
        <f>IF(ISBLANK('Список деталей'!F15),"",VLOOKUP('Список деталей'!F15,обозначениКромки,4,0))</f>
        <v xml:space="preserve">Х Х Х 1 Х Х Х </v>
      </c>
      <c r="J7" s="25" t="str">
        <f>IF(ISBLANK('Список деталей'!G15),"",VLOOKUP('Список деталей'!G15,обозначениКромки,4,0))</f>
        <v xml:space="preserve">Х Х Х 1 Х Х Х </v>
      </c>
      <c r="K7" s="25" t="str">
        <f>IF(ISBLANK('Список деталей'!H15),"",VLOOKUP('Список деталей'!H15,обозначениКромки,4,0))</f>
        <v xml:space="preserve">Х Х Х 1 Х Х Х </v>
      </c>
      <c r="L7" s="25" t="str">
        <f>IF(ISBLANK('Список деталей'!I15),"",VLOOKUP('Список деталей'!I15,обозначениКромки,4,0))</f>
        <v>■ ■ ■2■ ■ ■</v>
      </c>
      <c r="M7" s="24" t="str">
        <f>IF(ISBLANK('Список деталей'!Y15),"",('Список деталей'!Y15))</f>
        <v/>
      </c>
      <c r="N7" s="3" t="str">
        <f>IF(ISBLANK('Список деталей'!Z15),"",('Список деталей'!Z15))</f>
        <v/>
      </c>
      <c r="O7" s="3" t="str">
        <f>IF(ISBLANK('Список деталей'!AA15),"",('Список деталей'!AA15))</f>
        <v/>
      </c>
      <c r="P7" s="3" t="str">
        <f>IF(ISBLANK('Список деталей'!AB15),"",('Список деталей'!AB15))</f>
        <v/>
      </c>
      <c r="Q7" s="45">
        <f>VLOOKUP(IF(ISBLANK('Список деталей'!H15)=TRUE,7,'Список деталей'!H15),кромка,2,0)+VLOOKUP(IF(ISBLANK('Список деталей'!I15)=TRUE,7,'Список деталей'!I15),кромка,2,0)+'Список деталей'!C15</f>
        <v>702</v>
      </c>
      <c r="R7" s="45">
        <f>VLOOKUP(IF(ISBLANK('Список деталей'!F15)=TRUE,7,'Список деталей'!F15),кромка,2,0)+VLOOKUP(IF(ISBLANK('Список деталей'!G15)=TRUE,7,'Список деталей'!G15),кромка,2,0)+'Список деталей'!D15</f>
        <v>157</v>
      </c>
      <c r="S7" s="42">
        <f>IF('Список деталей'!H15="",0,1)+IF('Список деталей'!I15="",0,1)+'Список деталей'!C15</f>
        <v>701</v>
      </c>
      <c r="T7" s="42">
        <f>IF('Список деталей'!F15="",0,1)+IF('Список деталей'!G15="",0,1)+'Список деталей'!D15</f>
        <v>157</v>
      </c>
      <c r="U7" s="3" t="str">
        <f>IF(ISBLANK('Список деталей'!K15),"",'Список деталей'!K15)</f>
        <v/>
      </c>
      <c r="V7" s="3" t="str">
        <f>IF(AND('Список деталей'!C15&gt;849,'Список деталей'!D15&gt;849)=TRUE,1*'Список деталей'!E15,"")</f>
        <v/>
      </c>
    </row>
    <row r="8" spans="1:24" x14ac:dyDescent="0.45">
      <c r="A8" s="3">
        <f>IF(ISNUMBER('Список деталей'!A16), 'Список деталей'!A16, "")</f>
        <v>7</v>
      </c>
      <c r="B8" s="30" t="str">
        <f>IF(ISBLANK('Список деталей'!B16),"",'Список деталей'!B16)</f>
        <v/>
      </c>
      <c r="C8" s="3" t="str">
        <f>IF(ISNUMBER('Список деталей'!C16), $W$4,"")</f>
        <v xml:space="preserve">лдсп фон бежевый  </v>
      </c>
      <c r="D8" s="3">
        <f>IF(ISNUMBER('Список деталей'!C16), 'Список деталей'!$I$4,"")</f>
        <v>16</v>
      </c>
      <c r="E8" s="24">
        <f>IF(ISNUMBER('Список деталей'!E16), 'Список деталей'!E16, "")</f>
        <v>2</v>
      </c>
      <c r="F8" s="24">
        <f>IF(ISNUMBER('Список деталей'!C16), 'Список деталей'!C16, "")</f>
        <v>155</v>
      </c>
      <c r="G8" s="24">
        <f>IF(ISNUMBER('Список деталей'!D16), 'Список деталей'!D16, "")</f>
        <v>441</v>
      </c>
      <c r="H8" s="3" t="str">
        <f t="shared" si="0"/>
        <v xml:space="preserve">Косарез с кром, чертёж    </v>
      </c>
      <c r="I8" s="3" t="str">
        <f>IF(ISBLANK('Список деталей'!F16),"",VLOOKUP('Список деталей'!F16,обозначениКромки,4,0))</f>
        <v xml:space="preserve">Х Х Х 1 Х Х Х </v>
      </c>
      <c r="J8" s="25" t="str">
        <f>IF(ISBLANK('Список деталей'!G16),"",VLOOKUP('Список деталей'!G16,обозначениКромки,4,0))</f>
        <v>___ 04 ___</v>
      </c>
      <c r="K8" s="25" t="str">
        <f>IF(ISBLANK('Список деталей'!H16),"",VLOOKUP('Список деталей'!H16,обозначениКромки,4,0))</f>
        <v>___ 04 ___</v>
      </c>
      <c r="L8" s="25" t="str">
        <f>IF(ISBLANK('Список деталей'!I16),"",VLOOKUP('Список деталей'!I16,обозначениКромки,4,0))</f>
        <v>___ 04 ___</v>
      </c>
      <c r="M8" s="24" t="str">
        <f>IF(ISBLANK('Список деталей'!Y16),"",('Список деталей'!Y16))</f>
        <v/>
      </c>
      <c r="N8" s="3" t="str">
        <f>IF(ISBLANK('Список деталей'!Z16),"",('Список деталей'!Z16))</f>
        <v/>
      </c>
      <c r="O8" s="3" t="str">
        <f>IF(ISBLANK('Список деталей'!AA16),"",('Список деталей'!AA16))</f>
        <v/>
      </c>
      <c r="P8" s="3" t="str">
        <f>IF(ISBLANK('Список деталей'!AB16),"",('Список деталей'!AB16))</f>
        <v/>
      </c>
      <c r="Q8" s="45">
        <f>VLOOKUP(IF(ISBLANK('Список деталей'!H16)=TRUE,7,'Список деталей'!H16),кромка,2,0)+VLOOKUP(IF(ISBLANK('Список деталей'!I16)=TRUE,7,'Список деталей'!I16),кромка,2,0)+'Список деталей'!C16</f>
        <v>156</v>
      </c>
      <c r="R8" s="45">
        <f>VLOOKUP(IF(ISBLANK('Список деталей'!F16)=TRUE,7,'Список деталей'!F16),кромка,2,0)+VLOOKUP(IF(ISBLANK('Список деталей'!G16)=TRUE,7,'Список деталей'!G16),кромка,2,0)+'Список деталей'!D16</f>
        <v>442.5</v>
      </c>
      <c r="S8" s="42">
        <f>IF('Список деталей'!H16="",0,1)+IF('Список деталей'!I16="",0,1)+'Список деталей'!C16</f>
        <v>157</v>
      </c>
      <c r="T8" s="42">
        <f>IF('Список деталей'!F16="",0,1)+IF('Список деталей'!G16="",0,1)+'Список деталей'!D16</f>
        <v>443</v>
      </c>
      <c r="U8" s="3" t="str">
        <f>IF(ISBLANK('Список деталей'!K16),"",'Список деталей'!K16)</f>
        <v>Косарез с кром, чертёж</v>
      </c>
      <c r="V8" s="3" t="str">
        <f>IF(AND('Список деталей'!C16&gt;849,'Список деталей'!D16&gt;849)=TRUE,1*'Список деталей'!E16,"")</f>
        <v/>
      </c>
    </row>
    <row r="9" spans="1:24" x14ac:dyDescent="0.45">
      <c r="A9" s="3">
        <f>IF(ISNUMBER('Список деталей'!A17), 'Список деталей'!A17, "")</f>
        <v>8</v>
      </c>
      <c r="B9" s="30" t="str">
        <f>IF(ISBLANK('Список деталей'!B17),"",'Список деталей'!B17)</f>
        <v/>
      </c>
      <c r="C9" s="3" t="str">
        <f>IF(ISNUMBER('Список деталей'!C17), $W$4,"")</f>
        <v xml:space="preserve">лдсп фон бежевый  </v>
      </c>
      <c r="D9" s="3">
        <f>IF(ISNUMBER('Список деталей'!C17), 'Список деталей'!$I$4,"")</f>
        <v>16</v>
      </c>
      <c r="E9" s="24">
        <f>IF(ISNUMBER('Список деталей'!E17), 'Список деталей'!E17, "")</f>
        <v>1</v>
      </c>
      <c r="F9" s="24">
        <f>IF(ISNUMBER('Список деталей'!C17), 'Список деталей'!C17, "")</f>
        <v>439</v>
      </c>
      <c r="G9" s="24">
        <f>IF(ISNUMBER('Список деталей'!D17), 'Список деталей'!D17, "")</f>
        <v>154</v>
      </c>
      <c r="H9" s="3" t="str">
        <f t="shared" si="0"/>
        <v xml:space="preserve">    </v>
      </c>
      <c r="I9" s="3" t="str">
        <f>IF(ISBLANK('Список деталей'!F17),"",VLOOKUP('Список деталей'!F17,обозначениКромки,4,0))</f>
        <v>___ 04 ___</v>
      </c>
      <c r="J9" s="25" t="str">
        <f>IF(ISBLANK('Список деталей'!G17),"",VLOOKUP('Список деталей'!G17,обозначениКромки,4,0))</f>
        <v>___ 04 ___</v>
      </c>
      <c r="K9" s="25" t="str">
        <f>IF(ISBLANK('Список деталей'!H17),"",VLOOKUP('Список деталей'!H17,обозначениКромки,4,0))</f>
        <v>___ 04 ___</v>
      </c>
      <c r="L9" s="25" t="str">
        <f>IF(ISBLANK('Список деталей'!I17),"",VLOOKUP('Список деталей'!I17,обозначениКромки,4,0))</f>
        <v>___ 04 ___</v>
      </c>
      <c r="M9" s="24" t="str">
        <f>IF(ISBLANK('Список деталей'!Y17),"",('Список деталей'!Y17))</f>
        <v/>
      </c>
      <c r="N9" s="3" t="str">
        <f>IF(ISBLANK('Список деталей'!Z17),"",('Список деталей'!Z17))</f>
        <v/>
      </c>
      <c r="O9" s="3" t="str">
        <f>IF(ISBLANK('Список деталей'!AA17),"",('Список деталей'!AA17))</f>
        <v/>
      </c>
      <c r="P9" s="3" t="str">
        <f>IF(ISBLANK('Список деталей'!AB17),"",('Список деталей'!AB17))</f>
        <v/>
      </c>
      <c r="Q9" s="45">
        <f>VLOOKUP(IF(ISBLANK('Список деталей'!H17)=TRUE,7,'Список деталей'!H17),кромка,2,0)+VLOOKUP(IF(ISBLANK('Список деталей'!I17)=TRUE,7,'Список деталей'!I17),кромка,2,0)+'Список деталей'!C17</f>
        <v>440</v>
      </c>
      <c r="R9" s="45">
        <f>VLOOKUP(IF(ISBLANK('Список деталей'!F17)=TRUE,7,'Список деталей'!F17),кромка,2,0)+VLOOKUP(IF(ISBLANK('Список деталей'!G17)=TRUE,7,'Список деталей'!G17),кромка,2,0)+'Список деталей'!D17</f>
        <v>155</v>
      </c>
      <c r="S9" s="42">
        <f>IF('Список деталей'!H17="",0,1)+IF('Список деталей'!I17="",0,1)+'Список деталей'!C17</f>
        <v>441</v>
      </c>
      <c r="T9" s="42">
        <f>IF('Список деталей'!F17="",0,1)+IF('Список деталей'!G17="",0,1)+'Список деталей'!D17</f>
        <v>156</v>
      </c>
      <c r="U9" s="3" t="str">
        <f>IF(ISBLANK('Список деталей'!K17),"",'Список деталей'!K17)</f>
        <v/>
      </c>
      <c r="V9" s="3" t="str">
        <f>IF(AND('Список деталей'!C17&gt;849,'Список деталей'!D17&gt;849)=TRUE,1*'Список деталей'!E17,"")</f>
        <v/>
      </c>
    </row>
    <row r="10" spans="1:24" x14ac:dyDescent="0.45">
      <c r="A10" s="3">
        <f>IF(ISNUMBER('Список деталей'!A18), 'Список деталей'!A18, "")</f>
        <v>9</v>
      </c>
      <c r="B10" s="30" t="str">
        <f>IF(ISBLANK('Список деталей'!B18),"",'Список деталей'!B18)</f>
        <v/>
      </c>
      <c r="C10" s="3" t="str">
        <f>IF(ISNUMBER('Список деталей'!C18), $W$4,"")</f>
        <v xml:space="preserve">лдсп фон бежевый  </v>
      </c>
      <c r="D10" s="3">
        <f>IF(ISNUMBER('Список деталей'!C18), 'Список деталей'!$I$4,"")</f>
        <v>16</v>
      </c>
      <c r="E10" s="24">
        <f>IF(ISNUMBER('Список деталей'!E18), 'Список деталей'!E18, "")</f>
        <v>2</v>
      </c>
      <c r="F10" s="24">
        <f>IF(ISNUMBER('Список деталей'!C18), 'Список деталей'!C18, "")</f>
        <v>496</v>
      </c>
      <c r="G10" s="24">
        <f>IF(ISNUMBER('Список деталей'!D18), 'Список деталей'!D18, "")</f>
        <v>126</v>
      </c>
      <c r="H10" s="3" t="str">
        <f t="shared" si="0"/>
        <v xml:space="preserve">СКЛ 456*86-2шт    </v>
      </c>
      <c r="I10" s="3" t="str">
        <f>IF(ISBLANK('Список деталей'!F18),"",VLOOKUP('Список деталей'!F18,обозначениКромки,4,0))</f>
        <v xml:space="preserve">Х Х Х 1*35 Х Х Х </v>
      </c>
      <c r="J10" s="25" t="str">
        <f>IF(ISBLANK('Список деталей'!G18),"",VLOOKUP('Список деталей'!G18,обозначениКромки,4,0))</f>
        <v>___04 *35___</v>
      </c>
      <c r="K10" s="25" t="str">
        <f>IF(ISBLANK('Список деталей'!H18),"",VLOOKUP('Список деталей'!H18,обозначениКромки,4,0))</f>
        <v/>
      </c>
      <c r="L10" s="25" t="str">
        <f>IF(ISBLANK('Список деталей'!I18),"",VLOOKUP('Список деталей'!I18,обозначениКромки,4,0))</f>
        <v/>
      </c>
      <c r="M10" s="24" t="str">
        <f>IF(ISBLANK('Список деталей'!Y18),"",('Список деталей'!Y18))</f>
        <v/>
      </c>
      <c r="N10" s="3" t="str">
        <f>IF(ISBLANK('Список деталей'!Z18),"",('Список деталей'!Z18))</f>
        <v/>
      </c>
      <c r="O10" s="3" t="str">
        <f>IF(ISBLANK('Список деталей'!AA18),"",('Список деталей'!AA18))</f>
        <v/>
      </c>
      <c r="P10" s="3" t="str">
        <f>IF(ISBLANK('Список деталей'!AB18),"",('Список деталей'!AB18))</f>
        <v/>
      </c>
      <c r="Q10" s="45">
        <f>VLOOKUP(IF(ISBLANK('Список деталей'!H18)=TRUE,7,'Список деталей'!H18),кромка,2,0)+VLOOKUP(IF(ISBLANK('Список деталей'!I18)=TRUE,7,'Список деталей'!I18),кромка,2,0)+'Список деталей'!C18</f>
        <v>496</v>
      </c>
      <c r="R10" s="45">
        <f>VLOOKUP(IF(ISBLANK('Список деталей'!F18)=TRUE,7,'Список деталей'!F18),кромка,2,0)+VLOOKUP(IF(ISBLANK('Список деталей'!G18)=TRUE,7,'Список деталей'!G18),кромка,2,0)+'Список деталей'!D18</f>
        <v>127.5</v>
      </c>
      <c r="S10" s="42">
        <f>IF('Список деталей'!H18="",0,1)+IF('Список деталей'!I18="",0,1)+'Список деталей'!C18</f>
        <v>496</v>
      </c>
      <c r="T10" s="42">
        <f>IF('Список деталей'!F18="",0,1)+IF('Список деталей'!G18="",0,1)+'Список деталей'!D18</f>
        <v>128</v>
      </c>
      <c r="U10" s="3" t="str">
        <f>IF(ISBLANK('Список деталей'!K18),"",'Список деталей'!K18)</f>
        <v>СКЛ 456*86-2шт</v>
      </c>
      <c r="V10" s="3" t="str">
        <f>IF(AND('Список деталей'!C18&gt;849,'Список деталей'!D18&gt;849)=TRUE,1*'Список деталей'!E18,"")</f>
        <v/>
      </c>
    </row>
    <row r="11" spans="1:24" x14ac:dyDescent="0.45">
      <c r="A11" s="3">
        <f>IF(ISNUMBER('Список деталей'!A19), 'Список деталей'!A19, "")</f>
        <v>10</v>
      </c>
      <c r="B11" s="30" t="str">
        <f>IF(ISBLANK('Список деталей'!B19),"",'Список деталей'!B19)</f>
        <v/>
      </c>
      <c r="C11" s="3" t="str">
        <f>IF(ISNUMBER('Список деталей'!C19), $W$4,"")</f>
        <v xml:space="preserve">лдсп фон бежевый  </v>
      </c>
      <c r="D11" s="3">
        <f>IF(ISNUMBER('Список деталей'!C19), 'Список деталей'!$I$4,"")</f>
        <v>16</v>
      </c>
      <c r="E11" s="24">
        <f>IF(ISNUMBER('Список деталей'!E19), 'Список деталей'!E19, "")</f>
        <v>1</v>
      </c>
      <c r="F11" s="24">
        <f>IF(ISNUMBER('Список деталей'!C19), 'Список деталей'!C19, "")</f>
        <v>439</v>
      </c>
      <c r="G11" s="24">
        <f>IF(ISNUMBER('Список деталей'!D19), 'Список деталей'!D19, "")</f>
        <v>84</v>
      </c>
      <c r="H11" s="3" t="str">
        <f t="shared" si="0"/>
        <v xml:space="preserve">    </v>
      </c>
      <c r="I11" s="3" t="str">
        <f>IF(ISBLANK('Список деталей'!F19),"",VLOOKUP('Список деталей'!F19,обозначениКромки,4,0))</f>
        <v>___ 04 ___</v>
      </c>
      <c r="J11" s="25" t="str">
        <f>IF(ISBLANK('Список деталей'!G19),"",VLOOKUP('Список деталей'!G19,обозначениКромки,4,0))</f>
        <v>___ 04 ___</v>
      </c>
      <c r="K11" s="25" t="str">
        <f>IF(ISBLANK('Список деталей'!H19),"",VLOOKUP('Список деталей'!H19,обозначениКромки,4,0))</f>
        <v>___ 04 ___</v>
      </c>
      <c r="L11" s="25" t="str">
        <f>IF(ISBLANK('Список деталей'!I19),"",VLOOKUP('Список деталей'!I19,обозначениКромки,4,0))</f>
        <v>___ 04 ___</v>
      </c>
      <c r="M11" s="24" t="str">
        <f>IF(ISBLANK('Список деталей'!Y19),"",('Список деталей'!Y19))</f>
        <v/>
      </c>
      <c r="N11" s="3" t="str">
        <f>IF(ISBLANK('Список деталей'!Z19),"",('Список деталей'!Z19))</f>
        <v/>
      </c>
      <c r="O11" s="3" t="str">
        <f>IF(ISBLANK('Список деталей'!AA19),"",('Список деталей'!AA19))</f>
        <v/>
      </c>
      <c r="P11" s="3" t="str">
        <f>IF(ISBLANK('Список деталей'!AB19),"",('Список деталей'!AB19))</f>
        <v/>
      </c>
      <c r="Q11" s="45">
        <f>VLOOKUP(IF(ISBLANK('Список деталей'!H19)=TRUE,7,'Список деталей'!H19),кромка,2,0)+VLOOKUP(IF(ISBLANK('Список деталей'!I19)=TRUE,7,'Список деталей'!I19),кромка,2,0)+'Список деталей'!C19</f>
        <v>440</v>
      </c>
      <c r="R11" s="45">
        <f>VLOOKUP(IF(ISBLANK('Список деталей'!F19)=TRUE,7,'Список деталей'!F19),кромка,2,0)+VLOOKUP(IF(ISBLANK('Список деталей'!G19)=TRUE,7,'Список деталей'!G19),кромка,2,0)+'Список деталей'!D19</f>
        <v>85</v>
      </c>
      <c r="S11" s="42">
        <f>IF('Список деталей'!H19="",0,1)+IF('Список деталей'!I19="",0,1)+'Список деталей'!C19</f>
        <v>441</v>
      </c>
      <c r="T11" s="42">
        <f>IF('Список деталей'!F19="",0,1)+IF('Список деталей'!G19="",0,1)+'Список деталей'!D19</f>
        <v>86</v>
      </c>
      <c r="U11" s="3" t="str">
        <f>IF(ISBLANK('Список деталей'!K19),"",'Список деталей'!K19)</f>
        <v/>
      </c>
      <c r="V11" s="3" t="str">
        <f>IF(AND('Список деталей'!C19&gt;849,'Список деталей'!D19&gt;849)=TRUE,1*'Список деталей'!E19,"")</f>
        <v/>
      </c>
    </row>
    <row r="12" spans="1:24" x14ac:dyDescent="0.45">
      <c r="A12" s="3">
        <f>IF(ISNUMBER('Список деталей'!A20), 'Список деталей'!A20, "")</f>
        <v>11</v>
      </c>
      <c r="B12" s="30" t="str">
        <f>IF(ISBLANK('Список деталей'!B20),"",'Список деталей'!B20)</f>
        <v/>
      </c>
      <c r="C12" s="3" t="str">
        <f>IF(ISNUMBER('Список деталей'!C20), $W$4,"")</f>
        <v xml:space="preserve">лдсп фон бежевый  </v>
      </c>
      <c r="D12" s="3">
        <f>IF(ISNUMBER('Список деталей'!C20), 'Список деталей'!$I$4,"")</f>
        <v>16</v>
      </c>
      <c r="E12" s="24">
        <f>IF(ISNUMBER('Список деталей'!E20), 'Список деталей'!E20, "")</f>
        <v>2</v>
      </c>
      <c r="F12" s="24">
        <f>IF(ISNUMBER('Список деталей'!C20), 'Список деталей'!C20, "")</f>
        <v>496</v>
      </c>
      <c r="G12" s="24">
        <f>IF(ISNUMBER('Список деталей'!D20), 'Список деталей'!D20, "")</f>
        <v>172</v>
      </c>
      <c r="H12" s="3" t="str">
        <f t="shared" si="0"/>
        <v xml:space="preserve">РПЛ до 56*2, докромить    </v>
      </c>
      <c r="I12" s="3" t="str">
        <f>IF(ISBLANK('Список деталей'!F20),"",VLOOKUP('Список деталей'!F20,обозначениКромки,4,0))</f>
        <v xml:space="preserve">Х Х Х 1 Х Х Х </v>
      </c>
      <c r="J12" s="25" t="str">
        <f>IF(ISBLANK('Список деталей'!G20),"",VLOOKUP('Список деталей'!G20,обозначениКромки,4,0))</f>
        <v>___ 04 ___</v>
      </c>
      <c r="K12" s="25" t="str">
        <f>IF(ISBLANK('Список деталей'!H20),"",VLOOKUP('Список деталей'!H20,обозначениКромки,4,0))</f>
        <v>___ 04 ___</v>
      </c>
      <c r="L12" s="25" t="str">
        <f>IF(ISBLANK('Список деталей'!I20),"",VLOOKUP('Список деталей'!I20,обозначениКромки,4,0))</f>
        <v>___ 04 ___</v>
      </c>
      <c r="M12" s="24" t="str">
        <f>IF(ISBLANK('Список деталей'!Y20),"",('Список деталей'!Y20))</f>
        <v/>
      </c>
      <c r="N12" s="3" t="str">
        <f>IF(ISBLANK('Список деталей'!Z20),"",('Список деталей'!Z20))</f>
        <v/>
      </c>
      <c r="O12" s="3" t="str">
        <f>IF(ISBLANK('Список деталей'!AA20),"",('Список деталей'!AA20))</f>
        <v/>
      </c>
      <c r="P12" s="3" t="str">
        <f>IF(ISBLANK('Список деталей'!AB20),"",('Список деталей'!AB20))</f>
        <v/>
      </c>
      <c r="Q12" s="45">
        <f>VLOOKUP(IF(ISBLANK('Список деталей'!H20)=TRUE,7,'Список деталей'!H20),кромка,2,0)+VLOOKUP(IF(ISBLANK('Список деталей'!I20)=TRUE,7,'Список деталей'!I20),кромка,2,0)+'Список деталей'!C20</f>
        <v>497</v>
      </c>
      <c r="R12" s="45">
        <f>VLOOKUP(IF(ISBLANK('Список деталей'!F20)=TRUE,7,'Список деталей'!F20),кромка,2,0)+VLOOKUP(IF(ISBLANK('Список деталей'!G20)=TRUE,7,'Список деталей'!G20),кромка,2,0)+'Список деталей'!D20</f>
        <v>173.5</v>
      </c>
      <c r="S12" s="42">
        <f>IF('Список деталей'!H20="",0,1)+IF('Список деталей'!I20="",0,1)+'Список деталей'!C20</f>
        <v>498</v>
      </c>
      <c r="T12" s="42">
        <f>IF('Список деталей'!F20="",0,1)+IF('Список деталей'!G20="",0,1)+'Список деталей'!D20</f>
        <v>174</v>
      </c>
      <c r="U12" s="3" t="str">
        <f>IF(ISBLANK('Список деталей'!K20),"",'Список деталей'!K20)</f>
        <v>РПЛ до 56*2, докромить</v>
      </c>
      <c r="V12" s="3" t="str">
        <f>IF(AND('Список деталей'!C20&gt;849,'Список деталей'!D20&gt;849)=TRUE,1*'Список деталей'!E20,"")</f>
        <v/>
      </c>
    </row>
    <row r="13" spans="1:24" x14ac:dyDescent="0.45">
      <c r="A13" s="3">
        <f>IF(ISNUMBER('Список деталей'!A21), 'Список деталей'!A21, "")</f>
        <v>12</v>
      </c>
      <c r="B13" s="30" t="str">
        <f>IF(ISBLANK('Список деталей'!B21),"",'Список деталей'!B21)</f>
        <v/>
      </c>
      <c r="C13" s="3" t="str">
        <f>IF(ISNUMBER('Список деталей'!C21), $W$4,"")</f>
        <v xml:space="preserve">лдсп фон бежевый  </v>
      </c>
      <c r="D13" s="3">
        <f>IF(ISNUMBER('Список деталей'!C21), 'Список деталей'!$I$4,"")</f>
        <v>16</v>
      </c>
      <c r="E13" s="24">
        <f>IF(ISNUMBER('Список деталей'!E21), 'Список деталей'!E21, "")</f>
        <v>1</v>
      </c>
      <c r="F13" s="24">
        <f>IF(ISNUMBER('Список деталей'!C21), 'Список деталей'!C21, "")</f>
        <v>367</v>
      </c>
      <c r="G13" s="24">
        <f>IF(ISNUMBER('Список деталей'!D21), 'Список деталей'!D21, "")</f>
        <v>69</v>
      </c>
      <c r="H13" s="3" t="str">
        <f t="shared" si="0"/>
        <v xml:space="preserve">    </v>
      </c>
      <c r="I13" s="3" t="str">
        <f>IF(ISBLANK('Список деталей'!F21),"",VLOOKUP('Список деталей'!F21,обозначениКромки,4,0))</f>
        <v>___ 04 ___</v>
      </c>
      <c r="J13" s="25" t="str">
        <f>IF(ISBLANK('Список деталей'!G21),"",VLOOKUP('Список деталей'!G21,обозначениКромки,4,0))</f>
        <v xml:space="preserve">Х Х Х 1 Х Х Х </v>
      </c>
      <c r="K13" s="25" t="str">
        <f>IF(ISBLANK('Список деталей'!H21),"",VLOOKUP('Список деталей'!H21,обозначениКромки,4,0))</f>
        <v>___ 04 ___</v>
      </c>
      <c r="L13" s="25" t="str">
        <f>IF(ISBLANK('Список деталей'!I21),"",VLOOKUP('Список деталей'!I21,обозначениКромки,4,0))</f>
        <v>___ 04 ___</v>
      </c>
      <c r="M13" s="24" t="str">
        <f>IF(ISBLANK('Список деталей'!Y21),"",('Список деталей'!Y21))</f>
        <v/>
      </c>
      <c r="N13" s="3" t="str">
        <f>IF(ISBLANK('Список деталей'!Z21),"",('Список деталей'!Z21))</f>
        <v/>
      </c>
      <c r="O13" s="3" t="str">
        <f>IF(ISBLANK('Список деталей'!AA21),"",('Список деталей'!AA21))</f>
        <v/>
      </c>
      <c r="P13" s="3" t="str">
        <f>IF(ISBLANK('Список деталей'!AB21),"",('Список деталей'!AB21))</f>
        <v/>
      </c>
      <c r="Q13" s="45">
        <f>VLOOKUP(IF(ISBLANK('Список деталей'!H21)=TRUE,7,'Список деталей'!H21),кромка,2,0)+VLOOKUP(IF(ISBLANK('Список деталей'!I21)=TRUE,7,'Список деталей'!I21),кромка,2,0)+'Список деталей'!C21</f>
        <v>368</v>
      </c>
      <c r="R13" s="45">
        <f>VLOOKUP(IF(ISBLANK('Список деталей'!F21)=TRUE,7,'Список деталей'!F21),кромка,2,0)+VLOOKUP(IF(ISBLANK('Список деталей'!G21)=TRUE,7,'Список деталей'!G21),кромка,2,0)+'Список деталей'!D21</f>
        <v>70.5</v>
      </c>
      <c r="S13" s="42">
        <f>IF('Список деталей'!H21="",0,1)+IF('Список деталей'!I21="",0,1)+'Список деталей'!C21</f>
        <v>369</v>
      </c>
      <c r="T13" s="42">
        <f>IF('Список деталей'!F21="",0,1)+IF('Список деталей'!G21="",0,1)+'Список деталей'!D21</f>
        <v>71</v>
      </c>
      <c r="U13" s="3" t="str">
        <f>IF(ISBLANK('Список деталей'!K21),"",'Список деталей'!K21)</f>
        <v/>
      </c>
      <c r="V13" s="3" t="str">
        <f>IF(AND('Список деталей'!C21&gt;849,'Список деталей'!D21&gt;849)=TRUE,1*'Список деталей'!E21,"")</f>
        <v/>
      </c>
    </row>
    <row r="14" spans="1:24" x14ac:dyDescent="0.45">
      <c r="A14" s="3">
        <f>IF(ISNUMBER('Список деталей'!A22), 'Список деталей'!A22, "")</f>
        <v>13</v>
      </c>
      <c r="B14" s="30" t="str">
        <f>IF(ISBLANK('Список деталей'!B22),"",'Список деталей'!B22)</f>
        <v/>
      </c>
      <c r="C14" s="3" t="str">
        <f>IF(ISNUMBER('Список деталей'!C22), $W$4,"")</f>
        <v xml:space="preserve">лдсп фон бежевый  </v>
      </c>
      <c r="D14" s="3">
        <f>IF(ISNUMBER('Список деталей'!C22), 'Список деталей'!$I$4,"")</f>
        <v>16</v>
      </c>
      <c r="E14" s="24">
        <f>IF(ISNUMBER('Список деталей'!E22), 'Список деталей'!E22, "")</f>
        <v>1</v>
      </c>
      <c r="F14" s="24">
        <f>IF(ISNUMBER('Список деталей'!C22), 'Список деталей'!C22, "")</f>
        <v>100</v>
      </c>
      <c r="G14" s="24">
        <f>IF(ISNUMBER('Список деталей'!D22), 'Список деталей'!D22, "")</f>
        <v>1000</v>
      </c>
      <c r="H14" s="3" t="str">
        <f t="shared" si="0"/>
        <v xml:space="preserve">    </v>
      </c>
      <c r="I14" s="3" t="str">
        <f>IF(ISBLANK('Список деталей'!F22),"",VLOOKUP('Список деталей'!F22,обозначениКромки,4,0))</f>
        <v/>
      </c>
      <c r="J14" s="25" t="str">
        <f>IF(ISBLANK('Список деталей'!G22),"",VLOOKUP('Список деталей'!G22,обозначениКромки,4,0))</f>
        <v/>
      </c>
      <c r="K14" s="25" t="str">
        <f>IF(ISBLANK('Список деталей'!H22),"",VLOOKUP('Список деталей'!H22,обозначениКромки,4,0))</f>
        <v/>
      </c>
      <c r="L14" s="25" t="str">
        <f>IF(ISBLANK('Список деталей'!I22),"",VLOOKUP('Список деталей'!I22,обозначениКромки,4,0))</f>
        <v/>
      </c>
      <c r="M14" s="24" t="str">
        <f>IF(ISBLANK('Список деталей'!Y22),"",('Список деталей'!Y22))</f>
        <v/>
      </c>
      <c r="N14" s="3" t="str">
        <f>IF(ISBLANK('Список деталей'!Z22),"",('Список деталей'!Z22))</f>
        <v/>
      </c>
      <c r="O14" s="3" t="str">
        <f>IF(ISBLANK('Список деталей'!AA22),"",('Список деталей'!AA22))</f>
        <v/>
      </c>
      <c r="P14" s="3" t="str">
        <f>IF(ISBLANK('Список деталей'!AB22),"",('Список деталей'!AB22))</f>
        <v/>
      </c>
      <c r="Q14" s="45">
        <f>VLOOKUP(IF(ISBLANK('Список деталей'!H22)=TRUE,7,'Список деталей'!H22),кромка,2,0)+VLOOKUP(IF(ISBLANK('Список деталей'!I22)=TRUE,7,'Список деталей'!I22),кромка,2,0)+'Список деталей'!C22</f>
        <v>100</v>
      </c>
      <c r="R14" s="45">
        <f>VLOOKUP(IF(ISBLANK('Список деталей'!F22)=TRUE,7,'Список деталей'!F22),кромка,2,0)+VLOOKUP(IF(ISBLANK('Список деталей'!G22)=TRUE,7,'Список деталей'!G22),кромка,2,0)+'Список деталей'!D22</f>
        <v>1000</v>
      </c>
      <c r="S14" s="42">
        <f>IF('Список деталей'!H22="",0,1)+IF('Список деталей'!I22="",0,1)+'Список деталей'!C22</f>
        <v>100</v>
      </c>
      <c r="T14" s="42">
        <f>IF('Список деталей'!F22="",0,1)+IF('Список деталей'!G22="",0,1)+'Список деталей'!D22</f>
        <v>1000</v>
      </c>
      <c r="U14" s="3" t="str">
        <f>IF(ISBLANK('Список деталей'!K22),"",'Список деталей'!K22)</f>
        <v/>
      </c>
      <c r="V14" s="3" t="str">
        <f>IF(AND('Список деталей'!C22&gt;849,'Список деталей'!D22&gt;849)=TRUE,1*'Список деталей'!E22,"")</f>
        <v/>
      </c>
    </row>
    <row r="15" spans="1:24" x14ac:dyDescent="0.45">
      <c r="A15" s="3">
        <f>IF(ISNUMBER('Список деталей'!A23), 'Список деталей'!A23, "")</f>
        <v>14</v>
      </c>
      <c r="B15" s="30" t="str">
        <f>IF(ISBLANK('Список деталей'!B23),"",'Список деталей'!B23)</f>
        <v/>
      </c>
      <c r="C15" s="3" t="str">
        <f>IF(ISNUMBER('Список деталей'!C23), $W$4,"")</f>
        <v/>
      </c>
      <c r="D15" s="3" t="str">
        <f>IF(ISNUMBER('Список деталей'!C23), 'Список деталей'!$I$4,"")</f>
        <v/>
      </c>
      <c r="E15" s="24" t="str">
        <f>IF(ISNUMBER('Список деталей'!E23), 'Список деталей'!E23, "")</f>
        <v/>
      </c>
      <c r="F15" s="24" t="str">
        <f>IF(ISNUMBER('Список деталей'!C23), 'Список деталей'!C23, "")</f>
        <v/>
      </c>
      <c r="G15" s="24" t="str">
        <f>IF(ISNUMBER('Список деталей'!D23), 'Список деталей'!D23, "")</f>
        <v/>
      </c>
      <c r="H15" s="3" t="str">
        <f t="shared" si="0"/>
        <v xml:space="preserve">    </v>
      </c>
      <c r="I15" s="3" t="str">
        <f>IF(ISBLANK('Список деталей'!F23),"",VLOOKUP('Список деталей'!F23,обозначениКромки,4,0))</f>
        <v/>
      </c>
      <c r="J15" s="25" t="str">
        <f>IF(ISBLANK('Список деталей'!G23),"",VLOOKUP('Список деталей'!G23,обозначениКромки,4,0))</f>
        <v/>
      </c>
      <c r="K15" s="25" t="str">
        <f>IF(ISBLANK('Список деталей'!H23),"",VLOOKUP('Список деталей'!H23,обозначениКромки,4,0))</f>
        <v/>
      </c>
      <c r="L15" s="25" t="str">
        <f>IF(ISBLANK('Список деталей'!I23),"",VLOOKUP('Список деталей'!I23,обозначениКромки,4,0))</f>
        <v/>
      </c>
      <c r="M15" s="24" t="str">
        <f>IF(ISBLANK('Список деталей'!Y23),"",('Список деталей'!Y23))</f>
        <v/>
      </c>
      <c r="N15" s="3" t="str">
        <f>IF(ISBLANK('Список деталей'!Z23),"",('Список деталей'!Z23))</f>
        <v/>
      </c>
      <c r="O15" s="3" t="str">
        <f>IF(ISBLANK('Список деталей'!AA23),"",('Список деталей'!AA23))</f>
        <v/>
      </c>
      <c r="P15" s="3" t="str">
        <f>IF(ISBLANK('Список деталей'!AB23),"",('Список деталей'!AB23))</f>
        <v/>
      </c>
      <c r="Q15" s="45">
        <f>VLOOKUP(IF(ISBLANK('Список деталей'!H23)=TRUE,7,'Список деталей'!H23),кромка,2,0)+VLOOKUP(IF(ISBLANK('Список деталей'!I23)=TRUE,7,'Список деталей'!I23),кромка,2,0)+'Список деталей'!C23</f>
        <v>0</v>
      </c>
      <c r="R15" s="45">
        <f>VLOOKUP(IF(ISBLANK('Список деталей'!F23)=TRUE,7,'Список деталей'!F23),кромка,2,0)+VLOOKUP(IF(ISBLANK('Список деталей'!G23)=TRUE,7,'Список деталей'!G23),кромка,2,0)+'Список деталей'!D23</f>
        <v>0</v>
      </c>
      <c r="S15" s="42">
        <f>IF('Список деталей'!H23="",0,1)+IF('Список деталей'!I23="",0,1)+'Список деталей'!C23</f>
        <v>0</v>
      </c>
      <c r="T15" s="42">
        <f>IF('Список деталей'!F23="",0,1)+IF('Список деталей'!G23="",0,1)+'Список деталей'!D23</f>
        <v>0</v>
      </c>
      <c r="U15" s="3" t="str">
        <f>IF(ISBLANK('Список деталей'!K23),"",'Список деталей'!K23)</f>
        <v/>
      </c>
      <c r="V15" s="3" t="str">
        <f>IF(AND('Список деталей'!C23&gt;849,'Список деталей'!D23&gt;849)=TRUE,1*'Список деталей'!E23,"")</f>
        <v/>
      </c>
    </row>
    <row r="16" spans="1:24" x14ac:dyDescent="0.45">
      <c r="A16" s="3">
        <f>IF(ISNUMBER('Список деталей'!A24), 'Список деталей'!A24, "")</f>
        <v>15</v>
      </c>
      <c r="B16" s="30" t="str">
        <f>IF(ISBLANK('Список деталей'!B24),"",'Список деталей'!B24)</f>
        <v/>
      </c>
      <c r="C16" s="3" t="str">
        <f>IF(ISNUMBER('Список деталей'!C24), $W$4,"")</f>
        <v/>
      </c>
      <c r="D16" s="3" t="str">
        <f>IF(ISNUMBER('Список деталей'!C24), 'Список деталей'!$I$4,"")</f>
        <v/>
      </c>
      <c r="E16" s="24" t="str">
        <f>IF(ISNUMBER('Список деталей'!E24), 'Список деталей'!E24, "")</f>
        <v/>
      </c>
      <c r="F16" s="24" t="str">
        <f>IF(ISNUMBER('Список деталей'!C24), 'Список деталей'!C24, "")</f>
        <v/>
      </c>
      <c r="G16" s="24" t="str">
        <f>IF(ISNUMBER('Список деталей'!D24), 'Список деталей'!D24, "")</f>
        <v/>
      </c>
      <c r="H16" s="3" t="str">
        <f t="shared" si="0"/>
        <v xml:space="preserve">    </v>
      </c>
      <c r="I16" s="3" t="str">
        <f>IF(ISBLANK('Список деталей'!F24),"",VLOOKUP('Список деталей'!F24,обозначениКромки,4,0))</f>
        <v/>
      </c>
      <c r="J16" s="25" t="str">
        <f>IF(ISBLANK('Список деталей'!G24),"",VLOOKUP('Список деталей'!G24,обозначениКромки,4,0))</f>
        <v/>
      </c>
      <c r="K16" s="25" t="str">
        <f>IF(ISBLANK('Список деталей'!H24),"",VLOOKUP('Список деталей'!H24,обозначениКромки,4,0))</f>
        <v/>
      </c>
      <c r="L16" s="25" t="str">
        <f>IF(ISBLANK('Список деталей'!I24),"",VLOOKUP('Список деталей'!I24,обозначениКромки,4,0))</f>
        <v/>
      </c>
      <c r="M16" s="24" t="str">
        <f>IF(ISBLANK('Список деталей'!Y24),"",('Список деталей'!Y24))</f>
        <v/>
      </c>
      <c r="N16" s="3" t="str">
        <f>IF(ISBLANK('Список деталей'!Z24),"",('Список деталей'!Z24))</f>
        <v/>
      </c>
      <c r="O16" s="3" t="str">
        <f>IF(ISBLANK('Список деталей'!AA24),"",('Список деталей'!AA24))</f>
        <v/>
      </c>
      <c r="P16" s="3" t="str">
        <f>IF(ISBLANK('Список деталей'!AB24),"",('Список деталей'!AB24))</f>
        <v/>
      </c>
      <c r="Q16" s="45">
        <f>VLOOKUP(IF(ISBLANK('Список деталей'!H24)=TRUE,7,'Список деталей'!H24),кромка,2,0)+VLOOKUP(IF(ISBLANK('Список деталей'!I24)=TRUE,7,'Список деталей'!I24),кромка,2,0)+'Список деталей'!C24</f>
        <v>0</v>
      </c>
      <c r="R16" s="45">
        <f>VLOOKUP(IF(ISBLANK('Список деталей'!F24)=TRUE,7,'Список деталей'!F24),кромка,2,0)+VLOOKUP(IF(ISBLANK('Список деталей'!G24)=TRUE,7,'Список деталей'!G24),кромка,2,0)+'Список деталей'!D24</f>
        <v>0</v>
      </c>
      <c r="S16" s="42">
        <f>IF('Список деталей'!H24="",0,1)+IF('Список деталей'!I24="",0,1)+'Список деталей'!C24</f>
        <v>0</v>
      </c>
      <c r="T16" s="42">
        <f>IF('Список деталей'!F24="",0,1)+IF('Список деталей'!G24="",0,1)+'Список деталей'!D24</f>
        <v>0</v>
      </c>
      <c r="U16" s="3" t="str">
        <f>IF(ISBLANK('Список деталей'!K24),"",'Список деталей'!K24)</f>
        <v/>
      </c>
      <c r="V16" s="3" t="str">
        <f>IF(AND('Список деталей'!C24&gt;849,'Список деталей'!D24&gt;849)=TRUE,1*'Список деталей'!E24,"")</f>
        <v/>
      </c>
    </row>
    <row r="17" spans="1:22" x14ac:dyDescent="0.45">
      <c r="A17" s="3">
        <f>IF(ISNUMBER('Список деталей'!A25), 'Список деталей'!A25, "")</f>
        <v>16</v>
      </c>
      <c r="B17" s="30" t="str">
        <f>IF(ISBLANK('Список деталей'!B25),"",'Список деталей'!B25)</f>
        <v/>
      </c>
      <c r="C17" s="3" t="str">
        <f>IF(ISNUMBER('Список деталей'!C25), $W$4,"")</f>
        <v/>
      </c>
      <c r="D17" s="3" t="str">
        <f>IF(ISNUMBER('Список деталей'!C25), 'Список деталей'!$I$4,"")</f>
        <v/>
      </c>
      <c r="E17" s="24" t="str">
        <f>IF(ISNUMBER('Список деталей'!E25), 'Список деталей'!E25, "")</f>
        <v/>
      </c>
      <c r="F17" s="24" t="str">
        <f>IF(ISNUMBER('Список деталей'!C25), 'Список деталей'!C25, "")</f>
        <v/>
      </c>
      <c r="G17" s="24" t="str">
        <f>IF(ISNUMBER('Список деталей'!D25), 'Список деталей'!D25, "")</f>
        <v/>
      </c>
      <c r="H17" s="3" t="str">
        <f t="shared" si="0"/>
        <v xml:space="preserve">    </v>
      </c>
      <c r="I17" s="3" t="str">
        <f>IF(ISBLANK('Список деталей'!F25),"",VLOOKUP('Список деталей'!F25,обозначениКромки,4,0))</f>
        <v/>
      </c>
      <c r="J17" s="25" t="str">
        <f>IF(ISBLANK('Список деталей'!G25),"",VLOOKUP('Список деталей'!G25,обозначениКромки,4,0))</f>
        <v/>
      </c>
      <c r="K17" s="25" t="str">
        <f>IF(ISBLANK('Список деталей'!H25),"",VLOOKUP('Список деталей'!H25,обозначениКромки,4,0))</f>
        <v/>
      </c>
      <c r="L17" s="25" t="str">
        <f>IF(ISBLANK('Список деталей'!I25),"",VLOOKUP('Список деталей'!I25,обозначениКромки,4,0))</f>
        <v/>
      </c>
      <c r="M17" s="24" t="str">
        <f>IF(ISBLANK('Список деталей'!Y25),"",('Список деталей'!Y25))</f>
        <v/>
      </c>
      <c r="N17" s="3" t="str">
        <f>IF(ISBLANK('Список деталей'!Z25),"",('Список деталей'!Z25))</f>
        <v/>
      </c>
      <c r="O17" s="3" t="str">
        <f>IF(ISBLANK('Список деталей'!AA25),"",('Список деталей'!AA25))</f>
        <v/>
      </c>
      <c r="P17" s="3" t="str">
        <f>IF(ISBLANK('Список деталей'!AB25),"",('Список деталей'!AB25))</f>
        <v/>
      </c>
      <c r="Q17" s="45">
        <f>VLOOKUP(IF(ISBLANK('Список деталей'!H25)=TRUE,7,'Список деталей'!H25),кромка,2,0)+VLOOKUP(IF(ISBLANK('Список деталей'!I25)=TRUE,7,'Список деталей'!I25),кромка,2,0)+'Список деталей'!C25</f>
        <v>0</v>
      </c>
      <c r="R17" s="45">
        <f>VLOOKUP(IF(ISBLANK('Список деталей'!F25)=TRUE,7,'Список деталей'!F25),кромка,2,0)+VLOOKUP(IF(ISBLANK('Список деталей'!G25)=TRUE,7,'Список деталей'!G25),кромка,2,0)+'Список деталей'!D25</f>
        <v>0</v>
      </c>
      <c r="S17" s="42">
        <f>IF('Список деталей'!H25="",0,1)+IF('Список деталей'!I25="",0,1)+'Список деталей'!C25</f>
        <v>0</v>
      </c>
      <c r="T17" s="42">
        <f>IF('Список деталей'!F25="",0,1)+IF('Список деталей'!G25="",0,1)+'Список деталей'!D25</f>
        <v>0</v>
      </c>
      <c r="U17" s="3" t="str">
        <f>IF(ISBLANK('Список деталей'!K25),"",'Список деталей'!K25)</f>
        <v/>
      </c>
      <c r="V17" s="3" t="str">
        <f>IF(AND('Список деталей'!C25&gt;849,'Список деталей'!D25&gt;849)=TRUE,1*'Список деталей'!E25,"")</f>
        <v/>
      </c>
    </row>
    <row r="18" spans="1:22" x14ac:dyDescent="0.45">
      <c r="A18" s="3">
        <f>IF(ISNUMBER('Список деталей'!A26), 'Список деталей'!A26, "")</f>
        <v>17</v>
      </c>
      <c r="B18" s="30" t="str">
        <f>IF(ISBLANK('Список деталей'!B26),"",'Список деталей'!B26)</f>
        <v/>
      </c>
      <c r="C18" s="3" t="str">
        <f>IF(ISNUMBER('Список деталей'!C26), $W$4,"")</f>
        <v/>
      </c>
      <c r="D18" s="3" t="str">
        <f>IF(ISNUMBER('Список деталей'!C26), 'Список деталей'!$I$4,"")</f>
        <v/>
      </c>
      <c r="E18" s="24" t="str">
        <f>IF(ISNUMBER('Список деталей'!E26), 'Список деталей'!E26, "")</f>
        <v/>
      </c>
      <c r="F18" s="24" t="str">
        <f>IF(ISNUMBER('Список деталей'!C26), 'Список деталей'!C26, "")</f>
        <v/>
      </c>
      <c r="G18" s="24" t="str">
        <f>IF(ISNUMBER('Список деталей'!D26), 'Список деталей'!D26, "")</f>
        <v/>
      </c>
      <c r="H18" s="3" t="str">
        <f t="shared" si="0"/>
        <v xml:space="preserve">    </v>
      </c>
      <c r="I18" s="3" t="str">
        <f>IF(ISBLANK('Список деталей'!F26),"",VLOOKUP('Список деталей'!F26,обозначениКромки,4,0))</f>
        <v/>
      </c>
      <c r="J18" s="25" t="str">
        <f>IF(ISBLANK('Список деталей'!G26),"",VLOOKUP('Список деталей'!G26,обозначениКромки,4,0))</f>
        <v/>
      </c>
      <c r="K18" s="25" t="str">
        <f>IF(ISBLANK('Список деталей'!H26),"",VLOOKUP('Список деталей'!H26,обозначениКромки,4,0))</f>
        <v/>
      </c>
      <c r="L18" s="25" t="str">
        <f>IF(ISBLANK('Список деталей'!I26),"",VLOOKUP('Список деталей'!I26,обозначениКромки,4,0))</f>
        <v/>
      </c>
      <c r="M18" s="24" t="str">
        <f>IF(ISBLANK('Список деталей'!Y26),"",('Список деталей'!Y26))</f>
        <v/>
      </c>
      <c r="N18" s="3" t="str">
        <f>IF(ISBLANK('Список деталей'!Z26),"",('Список деталей'!Z26))</f>
        <v/>
      </c>
      <c r="O18" s="3" t="str">
        <f>IF(ISBLANK('Список деталей'!AA26),"",('Список деталей'!AA26))</f>
        <v/>
      </c>
      <c r="P18" s="3" t="str">
        <f>IF(ISBLANK('Список деталей'!AB26),"",('Список деталей'!AB26))</f>
        <v/>
      </c>
      <c r="Q18" s="45">
        <f>VLOOKUP(IF(ISBLANK('Список деталей'!H26)=TRUE,7,'Список деталей'!H26),кромка,2,0)+VLOOKUP(IF(ISBLANK('Список деталей'!I26)=TRUE,7,'Список деталей'!I26),кромка,2,0)+'Список деталей'!C26</f>
        <v>0</v>
      </c>
      <c r="R18" s="45">
        <f>VLOOKUP(IF(ISBLANK('Список деталей'!F26)=TRUE,7,'Список деталей'!F26),кромка,2,0)+VLOOKUP(IF(ISBLANK('Список деталей'!G26)=TRUE,7,'Список деталей'!G26),кромка,2,0)+'Список деталей'!D26</f>
        <v>0</v>
      </c>
      <c r="S18" s="42">
        <f>IF('Список деталей'!H26="",0,1)+IF('Список деталей'!I26="",0,1)+'Список деталей'!C26</f>
        <v>0</v>
      </c>
      <c r="T18" s="42">
        <f>IF('Список деталей'!F26="",0,1)+IF('Список деталей'!G26="",0,1)+'Список деталей'!D26</f>
        <v>0</v>
      </c>
      <c r="U18" s="3" t="str">
        <f>IF(ISBLANK('Список деталей'!K26),"",'Список деталей'!K26)</f>
        <v/>
      </c>
      <c r="V18" s="3" t="str">
        <f>IF(AND('Список деталей'!C26&gt;849,'Список деталей'!D26&gt;849)=TRUE,1*'Список деталей'!E26,"")</f>
        <v/>
      </c>
    </row>
    <row r="19" spans="1:22" x14ac:dyDescent="0.45">
      <c r="A19" s="3">
        <f>IF(ISNUMBER('Список деталей'!A27), 'Список деталей'!A27, "")</f>
        <v>18</v>
      </c>
      <c r="B19" s="30" t="str">
        <f>IF(ISBLANK('Список деталей'!B27),"",'Список деталей'!B27)</f>
        <v/>
      </c>
      <c r="C19" s="3" t="str">
        <f>IF(ISNUMBER('Список деталей'!C27), $W$4,"")</f>
        <v/>
      </c>
      <c r="D19" s="3" t="str">
        <f>IF(ISNUMBER('Список деталей'!C27), 'Список деталей'!$I$4,"")</f>
        <v/>
      </c>
      <c r="E19" s="24" t="str">
        <f>IF(ISNUMBER('Список деталей'!E27), 'Список деталей'!E27, "")</f>
        <v/>
      </c>
      <c r="F19" s="24" t="str">
        <f>IF(ISNUMBER('Список деталей'!C27), 'Список деталей'!C27, "")</f>
        <v/>
      </c>
      <c r="G19" s="24" t="str">
        <f>IF(ISNUMBER('Список деталей'!D27), 'Список деталей'!D27, "")</f>
        <v/>
      </c>
      <c r="H19" s="3" t="str">
        <f t="shared" si="0"/>
        <v xml:space="preserve">    </v>
      </c>
      <c r="I19" s="3" t="str">
        <f>IF(ISBLANK('Список деталей'!F27),"",VLOOKUP('Список деталей'!F27,обозначениКромки,4,0))</f>
        <v/>
      </c>
      <c r="J19" s="25" t="str">
        <f>IF(ISBLANK('Список деталей'!G27),"",VLOOKUP('Список деталей'!G27,обозначениКромки,4,0))</f>
        <v/>
      </c>
      <c r="K19" s="25" t="str">
        <f>IF(ISBLANK('Список деталей'!H27),"",VLOOKUP('Список деталей'!H27,обозначениКромки,4,0))</f>
        <v/>
      </c>
      <c r="L19" s="25" t="str">
        <f>IF(ISBLANK('Список деталей'!I27),"",VLOOKUP('Список деталей'!I27,обозначениКромки,4,0))</f>
        <v/>
      </c>
      <c r="M19" s="24" t="str">
        <f>IF(ISBLANK('Список деталей'!Y27),"",('Список деталей'!Y27))</f>
        <v/>
      </c>
      <c r="N19" s="3" t="str">
        <f>IF(ISBLANK('Список деталей'!Z27),"",('Список деталей'!Z27))</f>
        <v/>
      </c>
      <c r="O19" s="3" t="str">
        <f>IF(ISBLANK('Список деталей'!AA27),"",('Список деталей'!AA27))</f>
        <v/>
      </c>
      <c r="P19" s="3" t="str">
        <f>IF(ISBLANK('Список деталей'!AB27),"",('Список деталей'!AB27))</f>
        <v/>
      </c>
      <c r="Q19" s="45">
        <f>VLOOKUP(IF(ISBLANK('Список деталей'!H27)=TRUE,7,'Список деталей'!H27),кромка,2,0)+VLOOKUP(IF(ISBLANK('Список деталей'!I27)=TRUE,7,'Список деталей'!I27),кромка,2,0)+'Список деталей'!C27</f>
        <v>0</v>
      </c>
      <c r="R19" s="45">
        <f>VLOOKUP(IF(ISBLANK('Список деталей'!F27)=TRUE,7,'Список деталей'!F27),кромка,2,0)+VLOOKUP(IF(ISBLANK('Список деталей'!G27)=TRUE,7,'Список деталей'!G27),кромка,2,0)+'Список деталей'!D27</f>
        <v>0</v>
      </c>
      <c r="S19" s="42">
        <f>IF('Список деталей'!H27="",0,1)+IF('Список деталей'!I27="",0,1)+'Список деталей'!C27</f>
        <v>0</v>
      </c>
      <c r="T19" s="42">
        <f>IF('Список деталей'!F27="",0,1)+IF('Список деталей'!G27="",0,1)+'Список деталей'!D27</f>
        <v>0</v>
      </c>
      <c r="U19" s="3" t="str">
        <f>IF(ISBLANK('Список деталей'!K27),"",'Список деталей'!K27)</f>
        <v/>
      </c>
      <c r="V19" s="3" t="str">
        <f>IF(AND('Список деталей'!C27&gt;849,'Список деталей'!D27&gt;849)=TRUE,1*'Список деталей'!E27,"")</f>
        <v/>
      </c>
    </row>
    <row r="20" spans="1:22" x14ac:dyDescent="0.45">
      <c r="A20" s="3">
        <f>IF(ISNUMBER('Список деталей'!A28), 'Список деталей'!A28, "")</f>
        <v>19</v>
      </c>
      <c r="B20" s="30" t="str">
        <f>IF(ISBLANK('Список деталей'!B28),"",'Список деталей'!B28)</f>
        <v/>
      </c>
      <c r="C20" s="3" t="str">
        <f>IF(ISNUMBER('Список деталей'!C28), $W$4,"")</f>
        <v/>
      </c>
      <c r="D20" s="3" t="str">
        <f>IF(ISNUMBER('Список деталей'!C28), 'Список деталей'!$I$4,"")</f>
        <v/>
      </c>
      <c r="E20" s="24" t="str">
        <f>IF(ISNUMBER('Список деталей'!E28), 'Список деталей'!E28, "")</f>
        <v/>
      </c>
      <c r="F20" s="24" t="str">
        <f>IF(ISNUMBER('Список деталей'!C28), 'Список деталей'!C28, "")</f>
        <v/>
      </c>
      <c r="G20" s="24" t="str">
        <f>IF(ISNUMBER('Список деталей'!D28), 'Список деталей'!D28, "")</f>
        <v/>
      </c>
      <c r="H20" s="3" t="str">
        <f t="shared" si="0"/>
        <v xml:space="preserve">    </v>
      </c>
      <c r="I20" s="3" t="str">
        <f>IF(ISBLANK('Список деталей'!F28),"",VLOOKUP('Список деталей'!F28,обозначениКромки,4,0))</f>
        <v/>
      </c>
      <c r="J20" s="25" t="str">
        <f>IF(ISBLANK('Список деталей'!G28),"",VLOOKUP('Список деталей'!G28,обозначениКромки,4,0))</f>
        <v/>
      </c>
      <c r="K20" s="25" t="str">
        <f>IF(ISBLANK('Список деталей'!H28),"",VLOOKUP('Список деталей'!H28,обозначениКромки,4,0))</f>
        <v/>
      </c>
      <c r="L20" s="25" t="str">
        <f>IF(ISBLANK('Список деталей'!I28),"",VLOOKUP('Список деталей'!I28,обозначениКромки,4,0))</f>
        <v/>
      </c>
      <c r="M20" s="24" t="str">
        <f>IF(ISBLANK('Список деталей'!Y28),"",('Список деталей'!Y28))</f>
        <v/>
      </c>
      <c r="N20" s="3" t="str">
        <f>IF(ISBLANK('Список деталей'!Z28),"",('Список деталей'!Z28))</f>
        <v/>
      </c>
      <c r="O20" s="3" t="str">
        <f>IF(ISBLANK('Список деталей'!AA28),"",('Список деталей'!AA28))</f>
        <v/>
      </c>
      <c r="P20" s="3" t="str">
        <f>IF(ISBLANK('Список деталей'!AB28),"",('Список деталей'!AB28))</f>
        <v/>
      </c>
      <c r="Q20" s="45">
        <f>VLOOKUP(IF(ISBLANK('Список деталей'!H28)=TRUE,7,'Список деталей'!H28),кромка,2,0)+VLOOKUP(IF(ISBLANK('Список деталей'!I28)=TRUE,7,'Список деталей'!I28),кромка,2,0)+'Список деталей'!C28</f>
        <v>0</v>
      </c>
      <c r="R20" s="45">
        <f>VLOOKUP(IF(ISBLANK('Список деталей'!F28)=TRUE,7,'Список деталей'!F28),кромка,2,0)+VLOOKUP(IF(ISBLANK('Список деталей'!G28)=TRUE,7,'Список деталей'!G28),кромка,2,0)+'Список деталей'!D28</f>
        <v>0</v>
      </c>
      <c r="S20" s="42">
        <f>IF('Список деталей'!H28="",0,1)+IF('Список деталей'!I28="",0,1)+'Список деталей'!C28</f>
        <v>0</v>
      </c>
      <c r="T20" s="42">
        <f>IF('Список деталей'!F28="",0,1)+IF('Список деталей'!G28="",0,1)+'Список деталей'!D28</f>
        <v>0</v>
      </c>
      <c r="U20" s="3" t="str">
        <f>IF(ISBLANK('Список деталей'!K28),"",'Список деталей'!K28)</f>
        <v/>
      </c>
      <c r="V20" s="3" t="str">
        <f>IF(AND('Список деталей'!C28&gt;849,'Список деталей'!D28&gt;849)=TRUE,1*'Список деталей'!E28,"")</f>
        <v/>
      </c>
    </row>
    <row r="21" spans="1:22" x14ac:dyDescent="0.45">
      <c r="A21" s="3">
        <f>IF(ISNUMBER('Список деталей'!A29), 'Список деталей'!A29, "")</f>
        <v>20</v>
      </c>
      <c r="B21" s="30" t="str">
        <f>IF(ISBLANK('Список деталей'!B29),"",'Список деталей'!B29)</f>
        <v/>
      </c>
      <c r="C21" s="3" t="str">
        <f>IF(ISNUMBER('Список деталей'!C29), $W$4,"")</f>
        <v/>
      </c>
      <c r="D21" s="3" t="str">
        <f>IF(ISNUMBER('Список деталей'!C29), 'Список деталей'!$I$4,"")</f>
        <v/>
      </c>
      <c r="E21" s="24" t="str">
        <f>IF(ISNUMBER('Список деталей'!E29), 'Список деталей'!E29, "")</f>
        <v/>
      </c>
      <c r="F21" s="24" t="str">
        <f>IF(ISNUMBER('Список деталей'!C29), 'Список деталей'!C29, "")</f>
        <v/>
      </c>
      <c r="G21" s="24" t="str">
        <f>IF(ISNUMBER('Список деталей'!D29), 'Список деталей'!D29, "")</f>
        <v/>
      </c>
      <c r="H21" s="3" t="str">
        <f t="shared" si="0"/>
        <v xml:space="preserve">    </v>
      </c>
      <c r="I21" s="3" t="str">
        <f>IF(ISBLANK('Список деталей'!F29),"",VLOOKUP('Список деталей'!F29,обозначениКромки,4,0))</f>
        <v/>
      </c>
      <c r="J21" s="25" t="str">
        <f>IF(ISBLANK('Список деталей'!G29),"",VLOOKUP('Список деталей'!G29,обозначениКромки,4,0))</f>
        <v/>
      </c>
      <c r="K21" s="25" t="str">
        <f>IF(ISBLANK('Список деталей'!H29),"",VLOOKUP('Список деталей'!H29,обозначениКромки,4,0))</f>
        <v/>
      </c>
      <c r="L21" s="25" t="str">
        <f>IF(ISBLANK('Список деталей'!I29),"",VLOOKUP('Список деталей'!I29,обозначениКромки,4,0))</f>
        <v/>
      </c>
      <c r="M21" s="24" t="str">
        <f>IF(ISBLANK('Список деталей'!Y29),"",('Список деталей'!Y29))</f>
        <v/>
      </c>
      <c r="N21" s="3" t="str">
        <f>IF(ISBLANK('Список деталей'!Z29),"",('Список деталей'!Z29))</f>
        <v/>
      </c>
      <c r="O21" s="3" t="str">
        <f>IF(ISBLANK('Список деталей'!AA29),"",('Список деталей'!AA29))</f>
        <v/>
      </c>
      <c r="P21" s="3" t="str">
        <f>IF(ISBLANK('Список деталей'!AB29),"",('Список деталей'!AB29))</f>
        <v/>
      </c>
      <c r="Q21" s="45">
        <f>VLOOKUP(IF(ISBLANK('Список деталей'!H29)=TRUE,7,'Список деталей'!H29),кромка,2,0)+VLOOKUP(IF(ISBLANK('Список деталей'!I29)=TRUE,7,'Список деталей'!I29),кромка,2,0)+'Список деталей'!C29</f>
        <v>0</v>
      </c>
      <c r="R21" s="45">
        <f>VLOOKUP(IF(ISBLANK('Список деталей'!F29)=TRUE,7,'Список деталей'!F29),кромка,2,0)+VLOOKUP(IF(ISBLANK('Список деталей'!G29)=TRUE,7,'Список деталей'!G29),кромка,2,0)+'Список деталей'!D29</f>
        <v>0</v>
      </c>
      <c r="S21" s="42">
        <f>IF('Список деталей'!H29="",0,1)+IF('Список деталей'!I29="",0,1)+'Список деталей'!C29</f>
        <v>0</v>
      </c>
      <c r="T21" s="42">
        <f>IF('Список деталей'!F29="",0,1)+IF('Список деталей'!G29="",0,1)+'Список деталей'!D29</f>
        <v>0</v>
      </c>
      <c r="U21" s="3" t="str">
        <f>IF(ISBLANK('Список деталей'!K29),"",'Список деталей'!K29)</f>
        <v/>
      </c>
      <c r="V21" s="3" t="str">
        <f>IF(AND('Список деталей'!C29&gt;849,'Список деталей'!D29&gt;849)=TRUE,1*'Список деталей'!E29,"")</f>
        <v/>
      </c>
    </row>
    <row r="22" spans="1:22" x14ac:dyDescent="0.45">
      <c r="A22" s="3">
        <f>IF(ISNUMBER('Список деталей'!A30), 'Список деталей'!A30, "")</f>
        <v>21</v>
      </c>
      <c r="B22" s="30" t="str">
        <f>IF(ISBLANK('Список деталей'!B30),"",'Список деталей'!B30)</f>
        <v/>
      </c>
      <c r="C22" s="3" t="str">
        <f>IF(ISNUMBER('Список деталей'!C30), $W$4,"")</f>
        <v/>
      </c>
      <c r="D22" s="3" t="str">
        <f>IF(ISNUMBER('Список деталей'!C30), 'Список деталей'!$I$4,"")</f>
        <v/>
      </c>
      <c r="E22" s="24" t="str">
        <f>IF(ISNUMBER('Список деталей'!E30), 'Список деталей'!E30, "")</f>
        <v/>
      </c>
      <c r="F22" s="24" t="str">
        <f>IF(ISNUMBER('Список деталей'!C30), 'Список деталей'!C30, "")</f>
        <v/>
      </c>
      <c r="G22" s="24" t="str">
        <f>IF(ISNUMBER('Список деталей'!D30), 'Список деталей'!D30, "")</f>
        <v/>
      </c>
      <c r="H22" s="3" t="str">
        <f t="shared" si="0"/>
        <v xml:space="preserve">    </v>
      </c>
      <c r="I22" s="3" t="str">
        <f>IF(ISBLANK('Список деталей'!F30),"",VLOOKUP('Список деталей'!F30,обозначениКромки,4,0))</f>
        <v/>
      </c>
      <c r="J22" s="25" t="str">
        <f>IF(ISBLANK('Список деталей'!G30),"",VLOOKUP('Список деталей'!G30,обозначениКромки,4,0))</f>
        <v/>
      </c>
      <c r="K22" s="25" t="str">
        <f>IF(ISBLANK('Список деталей'!H30),"",VLOOKUP('Список деталей'!H30,обозначениКромки,4,0))</f>
        <v/>
      </c>
      <c r="L22" s="25" t="str">
        <f>IF(ISBLANK('Список деталей'!I30),"",VLOOKUP('Список деталей'!I30,обозначениКромки,4,0))</f>
        <v/>
      </c>
      <c r="M22" s="24" t="str">
        <f>IF(ISBLANK('Список деталей'!Y30),"",('Список деталей'!Y30))</f>
        <v/>
      </c>
      <c r="N22" s="3" t="str">
        <f>IF(ISBLANK('Список деталей'!Z30),"",('Список деталей'!Z30))</f>
        <v/>
      </c>
      <c r="O22" s="3" t="str">
        <f>IF(ISBLANK('Список деталей'!AA30),"",('Список деталей'!AA30))</f>
        <v/>
      </c>
      <c r="P22" s="3" t="str">
        <f>IF(ISBLANK('Список деталей'!AB30),"",('Список деталей'!AB30))</f>
        <v/>
      </c>
      <c r="Q22" s="45">
        <f>VLOOKUP(IF(ISBLANK('Список деталей'!H30)=TRUE,7,'Список деталей'!H30),кромка,2,0)+VLOOKUP(IF(ISBLANK('Список деталей'!I30)=TRUE,7,'Список деталей'!I30),кромка,2,0)+'Список деталей'!C30</f>
        <v>0</v>
      </c>
      <c r="R22" s="45">
        <f>VLOOKUP(IF(ISBLANK('Список деталей'!F30)=TRUE,7,'Список деталей'!F30),кромка,2,0)+VLOOKUP(IF(ISBLANK('Список деталей'!G30)=TRUE,7,'Список деталей'!G30),кромка,2,0)+'Список деталей'!D30</f>
        <v>0</v>
      </c>
      <c r="S22" s="42">
        <f>IF('Список деталей'!H30="",0,1)+IF('Список деталей'!I30="",0,1)+'Список деталей'!C30</f>
        <v>0</v>
      </c>
      <c r="T22" s="42">
        <f>IF('Список деталей'!F30="",0,1)+IF('Список деталей'!G30="",0,1)+'Список деталей'!D30</f>
        <v>0</v>
      </c>
      <c r="U22" s="3" t="str">
        <f>IF(ISBLANK('Список деталей'!K30),"",'Список деталей'!K30)</f>
        <v/>
      </c>
      <c r="V22" s="3" t="str">
        <f>IF(AND('Список деталей'!C30&gt;849,'Список деталей'!D30&gt;849)=TRUE,1*'Список деталей'!E30,"")</f>
        <v/>
      </c>
    </row>
    <row r="23" spans="1:22" x14ac:dyDescent="0.45">
      <c r="A23" s="3">
        <f>IF(ISNUMBER('Список деталей'!A31), 'Список деталей'!A31, "")</f>
        <v>22</v>
      </c>
      <c r="B23" s="30" t="str">
        <f>IF(ISBLANK('Список деталей'!B31),"",'Список деталей'!B31)</f>
        <v/>
      </c>
      <c r="C23" s="3" t="str">
        <f>IF(ISNUMBER('Список деталей'!C31), $W$4,"")</f>
        <v/>
      </c>
      <c r="D23" s="3" t="str">
        <f>IF(ISNUMBER('Список деталей'!C31), 'Список деталей'!$I$4,"")</f>
        <v/>
      </c>
      <c r="E23" s="24" t="str">
        <f>IF(ISNUMBER('Список деталей'!E31), 'Список деталей'!E31, "")</f>
        <v/>
      </c>
      <c r="F23" s="24" t="str">
        <f>IF(ISNUMBER('Список деталей'!C31), 'Список деталей'!C31, "")</f>
        <v/>
      </c>
      <c r="G23" s="24" t="str">
        <f>IF(ISNUMBER('Список деталей'!D31), 'Список деталей'!D31, "")</f>
        <v/>
      </c>
      <c r="H23" s="3" t="str">
        <f t="shared" si="0"/>
        <v xml:space="preserve">    </v>
      </c>
      <c r="I23" s="3" t="str">
        <f>IF(ISBLANK('Список деталей'!F31),"",VLOOKUP('Список деталей'!F31,обозначениКромки,4,0))</f>
        <v/>
      </c>
      <c r="J23" s="25" t="str">
        <f>IF(ISBLANK('Список деталей'!G31),"",VLOOKUP('Список деталей'!G31,обозначениКромки,4,0))</f>
        <v/>
      </c>
      <c r="K23" s="25" t="str">
        <f>IF(ISBLANK('Список деталей'!H31),"",VLOOKUP('Список деталей'!H31,обозначениКромки,4,0))</f>
        <v/>
      </c>
      <c r="L23" s="25" t="str">
        <f>IF(ISBLANK('Список деталей'!I31),"",VLOOKUP('Список деталей'!I31,обозначениКромки,4,0))</f>
        <v/>
      </c>
      <c r="M23" s="24" t="str">
        <f>IF(ISBLANK('Список деталей'!Y31),"",('Список деталей'!Y31))</f>
        <v/>
      </c>
      <c r="N23" s="3" t="str">
        <f>IF(ISBLANK('Список деталей'!Z31),"",('Список деталей'!Z31))</f>
        <v/>
      </c>
      <c r="O23" s="3" t="str">
        <f>IF(ISBLANK('Список деталей'!AA31),"",('Список деталей'!AA31))</f>
        <v/>
      </c>
      <c r="P23" s="3" t="str">
        <f>IF(ISBLANK('Список деталей'!AB31),"",('Список деталей'!AB31))</f>
        <v/>
      </c>
      <c r="Q23" s="45">
        <f>VLOOKUP(IF(ISBLANK('Список деталей'!H31)=TRUE,7,'Список деталей'!H31),кромка,2,0)+VLOOKUP(IF(ISBLANK('Список деталей'!I31)=TRUE,7,'Список деталей'!I31),кромка,2,0)+'Список деталей'!C31</f>
        <v>0</v>
      </c>
      <c r="R23" s="45">
        <f>VLOOKUP(IF(ISBLANK('Список деталей'!F31)=TRUE,7,'Список деталей'!F31),кромка,2,0)+VLOOKUP(IF(ISBLANK('Список деталей'!G31)=TRUE,7,'Список деталей'!G31),кромка,2,0)+'Список деталей'!D31</f>
        <v>0</v>
      </c>
      <c r="S23" s="42">
        <f>IF('Список деталей'!H31="",0,1)+IF('Список деталей'!I31="",0,1)+'Список деталей'!C31</f>
        <v>0</v>
      </c>
      <c r="T23" s="42">
        <f>IF('Список деталей'!F31="",0,1)+IF('Список деталей'!G31="",0,1)+'Список деталей'!D31</f>
        <v>0</v>
      </c>
      <c r="U23" s="3" t="str">
        <f>IF(ISBLANK('Список деталей'!K31),"",'Список деталей'!K31)</f>
        <v/>
      </c>
      <c r="V23" s="3" t="str">
        <f>IF(AND('Список деталей'!C31&gt;849,'Список деталей'!D31&gt;849)=TRUE,1*'Список деталей'!E31,"")</f>
        <v/>
      </c>
    </row>
    <row r="24" spans="1:22" x14ac:dyDescent="0.45">
      <c r="A24" s="3">
        <f>IF(ISNUMBER('Список деталей'!A32), 'Список деталей'!A32, "")</f>
        <v>23</v>
      </c>
      <c r="B24" s="30" t="str">
        <f>IF(ISBLANK('Список деталей'!B32),"",'Список деталей'!B32)</f>
        <v/>
      </c>
      <c r="C24" s="3" t="str">
        <f>IF(ISNUMBER('Список деталей'!C32), $W$4,"")</f>
        <v/>
      </c>
      <c r="D24" s="3" t="str">
        <f>IF(ISNUMBER('Список деталей'!C32), 'Список деталей'!$I$4,"")</f>
        <v/>
      </c>
      <c r="E24" s="24" t="str">
        <f>IF(ISNUMBER('Список деталей'!E32), 'Список деталей'!E32, "")</f>
        <v/>
      </c>
      <c r="F24" s="24" t="str">
        <f>IF(ISNUMBER('Список деталей'!C32), 'Список деталей'!C32, "")</f>
        <v/>
      </c>
      <c r="G24" s="24" t="str">
        <f>IF(ISNUMBER('Список деталей'!D32), 'Список деталей'!D32, "")</f>
        <v/>
      </c>
      <c r="H24" s="3" t="str">
        <f t="shared" si="0"/>
        <v xml:space="preserve">    </v>
      </c>
      <c r="I24" s="3" t="str">
        <f>IF(ISBLANK('Список деталей'!F32),"",VLOOKUP('Список деталей'!F32,обозначениКромки,4,0))</f>
        <v/>
      </c>
      <c r="J24" s="25" t="str">
        <f>IF(ISBLANK('Список деталей'!G32),"",VLOOKUP('Список деталей'!G32,обозначениКромки,4,0))</f>
        <v/>
      </c>
      <c r="K24" s="25" t="str">
        <f>IF(ISBLANK('Список деталей'!H32),"",VLOOKUP('Список деталей'!H32,обозначениКромки,4,0))</f>
        <v/>
      </c>
      <c r="L24" s="25" t="str">
        <f>IF(ISBLANK('Список деталей'!I32),"",VLOOKUP('Список деталей'!I32,обозначениКромки,4,0))</f>
        <v/>
      </c>
      <c r="M24" s="24" t="str">
        <f>IF(ISBLANK('Список деталей'!Y32),"",('Список деталей'!Y32))</f>
        <v/>
      </c>
      <c r="N24" s="3" t="str">
        <f>IF(ISBLANK('Список деталей'!Z32),"",('Список деталей'!Z32))</f>
        <v/>
      </c>
      <c r="O24" s="3" t="str">
        <f>IF(ISBLANK('Список деталей'!AA32),"",('Список деталей'!AA32))</f>
        <v/>
      </c>
      <c r="P24" s="3" t="str">
        <f>IF(ISBLANK('Список деталей'!AB32),"",('Список деталей'!AB32))</f>
        <v/>
      </c>
      <c r="Q24" s="45">
        <f>VLOOKUP(IF(ISBLANK('Список деталей'!H32)=TRUE,7,'Список деталей'!H32),кромка,2,0)+VLOOKUP(IF(ISBLANK('Список деталей'!I32)=TRUE,7,'Список деталей'!I32),кромка,2,0)+'Список деталей'!C32</f>
        <v>0</v>
      </c>
      <c r="R24" s="45">
        <f>VLOOKUP(IF(ISBLANK('Список деталей'!F32)=TRUE,7,'Список деталей'!F32),кромка,2,0)+VLOOKUP(IF(ISBLANK('Список деталей'!G32)=TRUE,7,'Список деталей'!G32),кромка,2,0)+'Список деталей'!D32</f>
        <v>0</v>
      </c>
      <c r="S24" s="42">
        <f>IF('Список деталей'!H32="",0,1)+IF('Список деталей'!I32="",0,1)+'Список деталей'!C32</f>
        <v>0</v>
      </c>
      <c r="T24" s="42">
        <f>IF('Список деталей'!F32="",0,1)+IF('Список деталей'!G32="",0,1)+'Список деталей'!D32</f>
        <v>0</v>
      </c>
      <c r="U24" s="3" t="str">
        <f>IF(ISBLANK('Список деталей'!K32),"",'Список деталей'!K32)</f>
        <v/>
      </c>
      <c r="V24" s="3" t="str">
        <f>IF(AND('Список деталей'!C32&gt;849,'Список деталей'!D32&gt;849)=TRUE,1*'Список деталей'!E32,"")</f>
        <v/>
      </c>
    </row>
    <row r="25" spans="1:22" x14ac:dyDescent="0.45">
      <c r="A25" s="3">
        <f>IF(ISNUMBER('Список деталей'!A33), 'Список деталей'!A33, "")</f>
        <v>24</v>
      </c>
      <c r="B25" s="30" t="str">
        <f>IF(ISBLANK('Список деталей'!B33),"",'Список деталей'!B33)</f>
        <v/>
      </c>
      <c r="C25" s="3" t="str">
        <f>IF(ISNUMBER('Список деталей'!C33), $W$4,"")</f>
        <v/>
      </c>
      <c r="D25" s="3" t="str">
        <f>IF(ISNUMBER('Список деталей'!C33), 'Список деталей'!$I$4,"")</f>
        <v/>
      </c>
      <c r="E25" s="24" t="str">
        <f>IF(ISNUMBER('Список деталей'!E33), 'Список деталей'!E33, "")</f>
        <v/>
      </c>
      <c r="F25" s="24" t="str">
        <f>IF(ISNUMBER('Список деталей'!C33), 'Список деталей'!C33, "")</f>
        <v/>
      </c>
      <c r="G25" s="24" t="str">
        <f>IF(ISNUMBER('Список деталей'!D33), 'Список деталей'!D33, "")</f>
        <v/>
      </c>
      <c r="H25" s="3" t="str">
        <f t="shared" si="0"/>
        <v xml:space="preserve">    </v>
      </c>
      <c r="I25" s="3" t="str">
        <f>IF(ISBLANK('Список деталей'!F33),"",VLOOKUP('Список деталей'!F33,обозначениКромки,4,0))</f>
        <v/>
      </c>
      <c r="J25" s="25" t="str">
        <f>IF(ISBLANK('Список деталей'!G33),"",VLOOKUP('Список деталей'!G33,обозначениКромки,4,0))</f>
        <v/>
      </c>
      <c r="K25" s="25" t="str">
        <f>IF(ISBLANK('Список деталей'!H33),"",VLOOKUP('Список деталей'!H33,обозначениКромки,4,0))</f>
        <v/>
      </c>
      <c r="L25" s="25" t="str">
        <f>IF(ISBLANK('Список деталей'!I33),"",VLOOKUP('Список деталей'!I33,обозначениКромки,4,0))</f>
        <v/>
      </c>
      <c r="M25" s="24" t="str">
        <f>IF(ISBLANK('Список деталей'!Y33),"",('Список деталей'!Y33))</f>
        <v/>
      </c>
      <c r="N25" s="3" t="str">
        <f>IF(ISBLANK('Список деталей'!Z33),"",('Список деталей'!Z33))</f>
        <v/>
      </c>
      <c r="O25" s="3" t="str">
        <f>IF(ISBLANK('Список деталей'!AA33),"",('Список деталей'!AA33))</f>
        <v/>
      </c>
      <c r="P25" s="3" t="str">
        <f>IF(ISBLANK('Список деталей'!AB33),"",('Список деталей'!AB33))</f>
        <v/>
      </c>
      <c r="Q25" s="45">
        <f>VLOOKUP(IF(ISBLANK('Список деталей'!H33)=TRUE,7,'Список деталей'!H33),кромка,2,0)+VLOOKUP(IF(ISBLANK('Список деталей'!I33)=TRUE,7,'Список деталей'!I33),кромка,2,0)+'Список деталей'!C33</f>
        <v>0</v>
      </c>
      <c r="R25" s="45">
        <f>VLOOKUP(IF(ISBLANK('Список деталей'!F33)=TRUE,7,'Список деталей'!F33),кромка,2,0)+VLOOKUP(IF(ISBLANK('Список деталей'!G33)=TRUE,7,'Список деталей'!G33),кромка,2,0)+'Список деталей'!D33</f>
        <v>0</v>
      </c>
      <c r="S25" s="42">
        <f>IF('Список деталей'!H33="",0,1)+IF('Список деталей'!I33="",0,1)+'Список деталей'!C33</f>
        <v>0</v>
      </c>
      <c r="T25" s="42">
        <f>IF('Список деталей'!F33="",0,1)+IF('Список деталей'!G33="",0,1)+'Список деталей'!D33</f>
        <v>0</v>
      </c>
      <c r="U25" s="3" t="str">
        <f>IF(ISBLANK('Список деталей'!K33),"",'Список деталей'!K33)</f>
        <v/>
      </c>
      <c r="V25" s="3" t="str">
        <f>IF(AND('Список деталей'!C33&gt;849,'Список деталей'!D33&gt;849)=TRUE,1*'Список деталей'!E33,"")</f>
        <v/>
      </c>
    </row>
    <row r="26" spans="1:22" x14ac:dyDescent="0.45">
      <c r="A26" s="3">
        <f>IF(ISNUMBER('Список деталей'!A34), 'Список деталей'!A34, "")</f>
        <v>25</v>
      </c>
      <c r="B26" s="30" t="str">
        <f>IF(ISBLANK('Список деталей'!B34),"",'Список деталей'!B34)</f>
        <v/>
      </c>
      <c r="C26" s="3" t="str">
        <f>IF(ISNUMBER('Список деталей'!C34), $W$4,"")</f>
        <v/>
      </c>
      <c r="D26" s="3" t="str">
        <f>IF(ISNUMBER('Список деталей'!C34), 'Список деталей'!$I$4,"")</f>
        <v/>
      </c>
      <c r="E26" s="24" t="str">
        <f>IF(ISNUMBER('Список деталей'!E34), 'Список деталей'!E34, "")</f>
        <v/>
      </c>
      <c r="F26" s="24" t="str">
        <f>IF(ISNUMBER('Список деталей'!C34), 'Список деталей'!C34, "")</f>
        <v/>
      </c>
      <c r="G26" s="24" t="str">
        <f>IF(ISNUMBER('Список деталей'!D34), 'Список деталей'!D34, "")</f>
        <v/>
      </c>
      <c r="H26" s="3" t="str">
        <f t="shared" si="0"/>
        <v xml:space="preserve">    </v>
      </c>
      <c r="I26" s="3" t="str">
        <f>IF(ISBLANK('Список деталей'!F34),"",VLOOKUP('Список деталей'!F34,обозначениКромки,4,0))</f>
        <v/>
      </c>
      <c r="J26" s="25" t="str">
        <f>IF(ISBLANK('Список деталей'!G34),"",VLOOKUP('Список деталей'!G34,обозначениКромки,4,0))</f>
        <v/>
      </c>
      <c r="K26" s="25" t="str">
        <f>IF(ISBLANK('Список деталей'!H34),"",VLOOKUP('Список деталей'!H34,обозначениКромки,4,0))</f>
        <v/>
      </c>
      <c r="L26" s="25" t="str">
        <f>IF(ISBLANK('Список деталей'!I34),"",VLOOKUP('Список деталей'!I34,обозначениКромки,4,0))</f>
        <v/>
      </c>
      <c r="M26" s="24" t="str">
        <f>IF(ISBLANK('Список деталей'!Y34),"",('Список деталей'!Y34))</f>
        <v/>
      </c>
      <c r="N26" s="3" t="str">
        <f>IF(ISBLANK('Список деталей'!Z34),"",('Список деталей'!Z34))</f>
        <v/>
      </c>
      <c r="O26" s="3" t="str">
        <f>IF(ISBLANK('Список деталей'!AA34),"",('Список деталей'!AA34))</f>
        <v/>
      </c>
      <c r="P26" s="3" t="str">
        <f>IF(ISBLANK('Список деталей'!AB34),"",('Список деталей'!AB34))</f>
        <v/>
      </c>
      <c r="Q26" s="45">
        <f>VLOOKUP(IF(ISBLANK('Список деталей'!H34)=TRUE,7,'Список деталей'!H34),кромка,2,0)+VLOOKUP(IF(ISBLANK('Список деталей'!I34)=TRUE,7,'Список деталей'!I34),кромка,2,0)+'Список деталей'!C34</f>
        <v>0</v>
      </c>
      <c r="R26" s="45">
        <f>VLOOKUP(IF(ISBLANK('Список деталей'!F34)=TRUE,7,'Список деталей'!F34),кромка,2,0)+VLOOKUP(IF(ISBLANK('Список деталей'!G34)=TRUE,7,'Список деталей'!G34),кромка,2,0)+'Список деталей'!D34</f>
        <v>0</v>
      </c>
      <c r="S26" s="42">
        <f>IF('Список деталей'!H34="",0,1)+IF('Список деталей'!I34="",0,1)+'Список деталей'!C34</f>
        <v>0</v>
      </c>
      <c r="T26" s="42">
        <f>IF('Список деталей'!F34="",0,1)+IF('Список деталей'!G34="",0,1)+'Список деталей'!D34</f>
        <v>0</v>
      </c>
      <c r="U26" s="3" t="str">
        <f>IF(ISBLANK('Список деталей'!K34),"",'Список деталей'!K34)</f>
        <v/>
      </c>
      <c r="V26" s="3" t="str">
        <f>IF(AND('Список деталей'!C34&gt;849,'Список деталей'!D34&gt;849)=TRUE,1*'Список деталей'!E34,"")</f>
        <v/>
      </c>
    </row>
    <row r="27" spans="1:22" x14ac:dyDescent="0.45">
      <c r="A27" s="3">
        <f>IF(ISNUMBER('Список деталей'!A35), 'Список деталей'!A35, "")</f>
        <v>26</v>
      </c>
      <c r="B27" s="30" t="str">
        <f>IF(ISBLANK('Список деталей'!B35),"",'Список деталей'!B35)</f>
        <v/>
      </c>
      <c r="C27" s="3" t="str">
        <f>IF(ISNUMBER('Список деталей'!C35), $W$4,"")</f>
        <v/>
      </c>
      <c r="D27" s="3" t="str">
        <f>IF(ISNUMBER('Список деталей'!C35), 'Список деталей'!$I$4,"")</f>
        <v/>
      </c>
      <c r="E27" s="24" t="str">
        <f>IF(ISNUMBER('Список деталей'!E35), 'Список деталей'!E35, "")</f>
        <v/>
      </c>
      <c r="F27" s="24" t="str">
        <f>IF(ISNUMBER('Список деталей'!C35), 'Список деталей'!C35, "")</f>
        <v/>
      </c>
      <c r="G27" s="24" t="str">
        <f>IF(ISNUMBER('Список деталей'!D35), 'Список деталей'!D35, "")</f>
        <v/>
      </c>
      <c r="H27" s="3" t="str">
        <f t="shared" si="0"/>
        <v xml:space="preserve">    </v>
      </c>
      <c r="I27" s="3" t="str">
        <f>IF(ISBLANK('Список деталей'!F35),"",VLOOKUP('Список деталей'!F35,обозначениКромки,4,0))</f>
        <v/>
      </c>
      <c r="J27" s="25" t="str">
        <f>IF(ISBLANK('Список деталей'!G35),"",VLOOKUP('Список деталей'!G35,обозначениКромки,4,0))</f>
        <v/>
      </c>
      <c r="K27" s="25" t="str">
        <f>IF(ISBLANK('Список деталей'!H35),"",VLOOKUP('Список деталей'!H35,обозначениКромки,4,0))</f>
        <v/>
      </c>
      <c r="L27" s="25" t="str">
        <f>IF(ISBLANK('Список деталей'!I35),"",VLOOKUP('Список деталей'!I35,обозначениКромки,4,0))</f>
        <v/>
      </c>
      <c r="M27" s="24" t="str">
        <f>IF(ISBLANK('Список деталей'!Y35),"",('Список деталей'!Y35))</f>
        <v/>
      </c>
      <c r="N27" s="3" t="str">
        <f>IF(ISBLANK('Список деталей'!Z35),"",('Список деталей'!Z35))</f>
        <v/>
      </c>
      <c r="O27" s="3" t="str">
        <f>IF(ISBLANK('Список деталей'!AA35),"",('Список деталей'!AA35))</f>
        <v/>
      </c>
      <c r="P27" s="3" t="str">
        <f>IF(ISBLANK('Список деталей'!AB35),"",('Список деталей'!AB35))</f>
        <v/>
      </c>
      <c r="Q27" s="45">
        <f>VLOOKUP(IF(ISBLANK('Список деталей'!H35)=TRUE,7,'Список деталей'!H35),кромка,2,0)+VLOOKUP(IF(ISBLANK('Список деталей'!I35)=TRUE,7,'Список деталей'!I35),кромка,2,0)+'Список деталей'!C35</f>
        <v>0</v>
      </c>
      <c r="R27" s="45">
        <f>VLOOKUP(IF(ISBLANK('Список деталей'!F35)=TRUE,7,'Список деталей'!F35),кромка,2,0)+VLOOKUP(IF(ISBLANK('Список деталей'!G35)=TRUE,7,'Список деталей'!G35),кромка,2,0)+'Список деталей'!D35</f>
        <v>0</v>
      </c>
      <c r="S27" s="42">
        <f>IF('Список деталей'!H35="",0,1)+IF('Список деталей'!I35="",0,1)+'Список деталей'!C35</f>
        <v>0</v>
      </c>
      <c r="T27" s="42">
        <f>IF('Список деталей'!F35="",0,1)+IF('Список деталей'!G35="",0,1)+'Список деталей'!D35</f>
        <v>0</v>
      </c>
      <c r="U27" s="3" t="str">
        <f>IF(ISBLANK('Список деталей'!K35),"",'Список деталей'!K35)</f>
        <v/>
      </c>
      <c r="V27" s="3" t="str">
        <f>IF(AND('Список деталей'!C35&gt;849,'Список деталей'!D35&gt;849)=TRUE,1*'Список деталей'!E35,"")</f>
        <v/>
      </c>
    </row>
    <row r="28" spans="1:22" x14ac:dyDescent="0.45">
      <c r="A28" s="3">
        <f>IF(ISNUMBER('Список деталей'!A36), 'Список деталей'!A36, "")</f>
        <v>27</v>
      </c>
      <c r="B28" s="30" t="str">
        <f>IF(ISBLANK('Список деталей'!B36),"",'Список деталей'!B36)</f>
        <v/>
      </c>
      <c r="C28" s="3" t="str">
        <f>IF(ISNUMBER('Список деталей'!C36), $W$4,"")</f>
        <v/>
      </c>
      <c r="D28" s="3" t="str">
        <f>IF(ISNUMBER('Список деталей'!C36), 'Список деталей'!$I$4,"")</f>
        <v/>
      </c>
      <c r="E28" s="24" t="str">
        <f>IF(ISNUMBER('Список деталей'!E36), 'Список деталей'!E36, "")</f>
        <v/>
      </c>
      <c r="F28" s="24" t="str">
        <f>IF(ISNUMBER('Список деталей'!C36), 'Список деталей'!C36, "")</f>
        <v/>
      </c>
      <c r="G28" s="24" t="str">
        <f>IF(ISNUMBER('Список деталей'!D36), 'Список деталей'!D36, "")</f>
        <v/>
      </c>
      <c r="H28" s="3" t="str">
        <f t="shared" si="0"/>
        <v xml:space="preserve">    </v>
      </c>
      <c r="I28" s="3" t="str">
        <f>IF(ISBLANK('Список деталей'!F36),"",VLOOKUP('Список деталей'!F36,обозначениКромки,4,0))</f>
        <v/>
      </c>
      <c r="J28" s="25" t="str">
        <f>IF(ISBLANK('Список деталей'!G36),"",VLOOKUP('Список деталей'!G36,обозначениКромки,4,0))</f>
        <v/>
      </c>
      <c r="K28" s="25" t="str">
        <f>IF(ISBLANK('Список деталей'!H36),"",VLOOKUP('Список деталей'!H36,обозначениКромки,4,0))</f>
        <v/>
      </c>
      <c r="L28" s="25" t="str">
        <f>IF(ISBLANK('Список деталей'!I36),"",VLOOKUP('Список деталей'!I36,обозначениКромки,4,0))</f>
        <v/>
      </c>
      <c r="M28" s="24" t="str">
        <f>IF(ISBLANK('Список деталей'!Y36),"",('Список деталей'!Y36))</f>
        <v/>
      </c>
      <c r="N28" s="3" t="str">
        <f>IF(ISBLANK('Список деталей'!Z36),"",('Список деталей'!Z36))</f>
        <v/>
      </c>
      <c r="O28" s="3" t="str">
        <f>IF(ISBLANK('Список деталей'!AA36),"",('Список деталей'!AA36))</f>
        <v/>
      </c>
      <c r="P28" s="3" t="str">
        <f>IF(ISBLANK('Список деталей'!AB36),"",('Список деталей'!AB36))</f>
        <v/>
      </c>
      <c r="Q28" s="45">
        <f>VLOOKUP(IF(ISBLANK('Список деталей'!H36)=TRUE,7,'Список деталей'!H36),кромка,2,0)+VLOOKUP(IF(ISBLANK('Список деталей'!I36)=TRUE,7,'Список деталей'!I36),кромка,2,0)+'Список деталей'!C36</f>
        <v>0</v>
      </c>
      <c r="R28" s="45">
        <f>VLOOKUP(IF(ISBLANK('Список деталей'!F36)=TRUE,7,'Список деталей'!F36),кромка,2,0)+VLOOKUP(IF(ISBLANK('Список деталей'!G36)=TRUE,7,'Список деталей'!G36),кромка,2,0)+'Список деталей'!D36</f>
        <v>0</v>
      </c>
      <c r="S28" s="42">
        <f>IF('Список деталей'!H36="",0,1)+IF('Список деталей'!I36="",0,1)+'Список деталей'!C36</f>
        <v>0</v>
      </c>
      <c r="T28" s="42">
        <f>IF('Список деталей'!F36="",0,1)+IF('Список деталей'!G36="",0,1)+'Список деталей'!D36</f>
        <v>0</v>
      </c>
      <c r="U28" s="3" t="str">
        <f>IF(ISBLANK('Список деталей'!K36),"",'Список деталей'!K36)</f>
        <v/>
      </c>
      <c r="V28" s="3" t="str">
        <f>IF(AND('Список деталей'!C36&gt;849,'Список деталей'!D36&gt;849)=TRUE,1*'Список деталей'!E36,"")</f>
        <v/>
      </c>
    </row>
    <row r="29" spans="1:22" x14ac:dyDescent="0.45">
      <c r="A29" s="3">
        <f>IF(ISNUMBER('Список деталей'!A37), 'Список деталей'!A37, "")</f>
        <v>28</v>
      </c>
      <c r="B29" s="30" t="str">
        <f>IF(ISBLANK('Список деталей'!B37),"",'Список деталей'!B37)</f>
        <v/>
      </c>
      <c r="C29" s="3" t="str">
        <f>IF(ISNUMBER('Список деталей'!C37), $W$4,"")</f>
        <v/>
      </c>
      <c r="D29" s="3" t="str">
        <f>IF(ISNUMBER('Список деталей'!C37), 'Список деталей'!$I$4,"")</f>
        <v/>
      </c>
      <c r="E29" s="24" t="str">
        <f>IF(ISNUMBER('Список деталей'!E37), 'Список деталей'!E37, "")</f>
        <v/>
      </c>
      <c r="F29" s="24" t="str">
        <f>IF(ISNUMBER('Список деталей'!C37), 'Список деталей'!C37, "")</f>
        <v/>
      </c>
      <c r="G29" s="24" t="str">
        <f>IF(ISNUMBER('Список деталей'!D37), 'Список деталей'!D37, "")</f>
        <v/>
      </c>
      <c r="H29" s="3" t="str">
        <f t="shared" si="0"/>
        <v xml:space="preserve">    </v>
      </c>
      <c r="I29" s="3" t="str">
        <f>IF(ISBLANK('Список деталей'!F37),"",VLOOKUP('Список деталей'!F37,обозначениКромки,4,0))</f>
        <v/>
      </c>
      <c r="J29" s="25" t="str">
        <f>IF(ISBLANK('Список деталей'!G37),"",VLOOKUP('Список деталей'!G37,обозначениКромки,4,0))</f>
        <v/>
      </c>
      <c r="K29" s="25" t="str">
        <f>IF(ISBLANK('Список деталей'!H37),"",VLOOKUP('Список деталей'!H37,обозначениКромки,4,0))</f>
        <v/>
      </c>
      <c r="L29" s="25" t="str">
        <f>IF(ISBLANK('Список деталей'!I37),"",VLOOKUP('Список деталей'!I37,обозначениКромки,4,0))</f>
        <v/>
      </c>
      <c r="M29" s="24" t="str">
        <f>IF(ISBLANK('Список деталей'!Y37),"",('Список деталей'!Y37))</f>
        <v/>
      </c>
      <c r="N29" s="3" t="str">
        <f>IF(ISBLANK('Список деталей'!Z37),"",('Список деталей'!Z37))</f>
        <v/>
      </c>
      <c r="O29" s="3" t="str">
        <f>IF(ISBLANK('Список деталей'!AA37),"",('Список деталей'!AA37))</f>
        <v/>
      </c>
      <c r="P29" s="3" t="str">
        <f>IF(ISBLANK('Список деталей'!AB37),"",('Список деталей'!AB37))</f>
        <v/>
      </c>
      <c r="Q29" s="45">
        <f>VLOOKUP(IF(ISBLANK('Список деталей'!H37)=TRUE,7,'Список деталей'!H37),кромка,2,0)+VLOOKUP(IF(ISBLANK('Список деталей'!I37)=TRUE,7,'Список деталей'!I37),кромка,2,0)+'Список деталей'!C37</f>
        <v>0</v>
      </c>
      <c r="R29" s="45">
        <f>VLOOKUP(IF(ISBLANK('Список деталей'!F37)=TRUE,7,'Список деталей'!F37),кромка,2,0)+VLOOKUP(IF(ISBLANK('Список деталей'!G37)=TRUE,7,'Список деталей'!G37),кромка,2,0)+'Список деталей'!D37</f>
        <v>0</v>
      </c>
      <c r="S29" s="42">
        <f>IF('Список деталей'!H37="",0,1)+IF('Список деталей'!I37="",0,1)+'Список деталей'!C37</f>
        <v>0</v>
      </c>
      <c r="T29" s="42">
        <f>IF('Список деталей'!F37="",0,1)+IF('Список деталей'!G37="",0,1)+'Список деталей'!D37</f>
        <v>0</v>
      </c>
      <c r="U29" s="3" t="str">
        <f>IF(ISBLANK('Список деталей'!K37),"",'Список деталей'!K37)</f>
        <v/>
      </c>
      <c r="V29" s="3" t="str">
        <f>IF(AND('Список деталей'!C37&gt;849,'Список деталей'!D37&gt;849)=TRUE,1*'Список деталей'!E37,"")</f>
        <v/>
      </c>
    </row>
    <row r="30" spans="1:22" x14ac:dyDescent="0.45">
      <c r="A30" s="3">
        <f>IF(ISNUMBER('Список деталей'!A38), 'Список деталей'!A38, "")</f>
        <v>29</v>
      </c>
      <c r="B30" s="30" t="str">
        <f>IF(ISBLANK('Список деталей'!B38),"",'Список деталей'!B38)</f>
        <v/>
      </c>
      <c r="C30" s="3" t="str">
        <f>IF(ISNUMBER('Список деталей'!C38), $W$4,"")</f>
        <v/>
      </c>
      <c r="D30" s="3" t="str">
        <f>IF(ISNUMBER('Список деталей'!C38), 'Список деталей'!$I$4,"")</f>
        <v/>
      </c>
      <c r="E30" s="24" t="str">
        <f>IF(ISNUMBER('Список деталей'!E38), 'Список деталей'!E38, "")</f>
        <v/>
      </c>
      <c r="F30" s="24" t="str">
        <f>IF(ISNUMBER('Список деталей'!C38), 'Список деталей'!C38, "")</f>
        <v/>
      </c>
      <c r="G30" s="24" t="str">
        <f>IF(ISNUMBER('Список деталей'!D38), 'Список деталей'!D38, "")</f>
        <v/>
      </c>
      <c r="H30" s="3" t="str">
        <f t="shared" si="0"/>
        <v xml:space="preserve">    </v>
      </c>
      <c r="I30" s="3" t="str">
        <f>IF(ISBLANK('Список деталей'!F38),"",VLOOKUP('Список деталей'!F38,обозначениКромки,4,0))</f>
        <v/>
      </c>
      <c r="J30" s="25" t="str">
        <f>IF(ISBLANK('Список деталей'!G38),"",VLOOKUP('Список деталей'!G38,обозначениКромки,4,0))</f>
        <v/>
      </c>
      <c r="K30" s="25" t="str">
        <f>IF(ISBLANK('Список деталей'!H38),"",VLOOKUP('Список деталей'!H38,обозначениКромки,4,0))</f>
        <v/>
      </c>
      <c r="L30" s="25" t="str">
        <f>IF(ISBLANK('Список деталей'!I38),"",VLOOKUP('Список деталей'!I38,обозначениКромки,4,0))</f>
        <v/>
      </c>
      <c r="M30" s="24" t="str">
        <f>IF(ISBLANK('Список деталей'!Y38),"",('Список деталей'!Y38))</f>
        <v/>
      </c>
      <c r="N30" s="3" t="str">
        <f>IF(ISBLANK('Список деталей'!Z38),"",('Список деталей'!Z38))</f>
        <v/>
      </c>
      <c r="O30" s="3" t="str">
        <f>IF(ISBLANK('Список деталей'!AA38),"",('Список деталей'!AA38))</f>
        <v/>
      </c>
      <c r="P30" s="3" t="str">
        <f>IF(ISBLANK('Список деталей'!AB38),"",('Список деталей'!AB38))</f>
        <v/>
      </c>
      <c r="Q30" s="45">
        <f>VLOOKUP(IF(ISBLANK('Список деталей'!H38)=TRUE,7,'Список деталей'!H38),кромка,2,0)+VLOOKUP(IF(ISBLANK('Список деталей'!I38)=TRUE,7,'Список деталей'!I38),кромка,2,0)+'Список деталей'!C38</f>
        <v>0</v>
      </c>
      <c r="R30" s="45">
        <f>VLOOKUP(IF(ISBLANK('Список деталей'!F38)=TRUE,7,'Список деталей'!F38),кромка,2,0)+VLOOKUP(IF(ISBLANK('Список деталей'!G38)=TRUE,7,'Список деталей'!G38),кромка,2,0)+'Список деталей'!D38</f>
        <v>0</v>
      </c>
      <c r="S30" s="42">
        <f>IF('Список деталей'!H38="",0,1)+IF('Список деталей'!I38="",0,1)+'Список деталей'!C38</f>
        <v>0</v>
      </c>
      <c r="T30" s="42">
        <f>IF('Список деталей'!F38="",0,1)+IF('Список деталей'!G38="",0,1)+'Список деталей'!D38</f>
        <v>0</v>
      </c>
      <c r="U30" s="3" t="str">
        <f>IF(ISBLANK('Список деталей'!K38),"",'Список деталей'!K38)</f>
        <v/>
      </c>
      <c r="V30" s="3" t="str">
        <f>IF(AND('Список деталей'!C38&gt;849,'Список деталей'!D38&gt;849)=TRUE,1*'Список деталей'!E38,"")</f>
        <v/>
      </c>
    </row>
    <row r="31" spans="1:22" x14ac:dyDescent="0.45">
      <c r="A31" s="3">
        <f>IF(ISNUMBER('Список деталей'!A39), 'Список деталей'!A39, "")</f>
        <v>30</v>
      </c>
      <c r="B31" s="30" t="str">
        <f>IF(ISBLANK('Список деталей'!B39),"",'Список деталей'!B39)</f>
        <v/>
      </c>
      <c r="C31" s="3" t="str">
        <f>IF(ISNUMBER('Список деталей'!C39), $W$4,"")</f>
        <v/>
      </c>
      <c r="D31" s="3" t="str">
        <f>IF(ISNUMBER('Список деталей'!C39), 'Список деталей'!$I$4,"")</f>
        <v/>
      </c>
      <c r="E31" s="24" t="str">
        <f>IF(ISNUMBER('Список деталей'!E39), 'Список деталей'!E39, "")</f>
        <v/>
      </c>
      <c r="F31" s="24" t="str">
        <f>IF(ISNUMBER('Список деталей'!C39), 'Список деталей'!C39, "")</f>
        <v/>
      </c>
      <c r="G31" s="24" t="str">
        <f>IF(ISNUMBER('Список деталей'!D39), 'Список деталей'!D39, "")</f>
        <v/>
      </c>
      <c r="H31" s="3" t="str">
        <f t="shared" si="0"/>
        <v xml:space="preserve">    </v>
      </c>
      <c r="I31" s="3" t="str">
        <f>IF(ISBLANK('Список деталей'!F39),"",VLOOKUP('Список деталей'!F39,обозначениКромки,4,0))</f>
        <v/>
      </c>
      <c r="J31" s="25" t="str">
        <f>IF(ISBLANK('Список деталей'!G39),"",VLOOKUP('Список деталей'!G39,обозначениКромки,4,0))</f>
        <v/>
      </c>
      <c r="K31" s="25" t="str">
        <f>IF(ISBLANK('Список деталей'!H39),"",VLOOKUP('Список деталей'!H39,обозначениКромки,4,0))</f>
        <v/>
      </c>
      <c r="L31" s="25" t="str">
        <f>IF(ISBLANK('Список деталей'!I39),"",VLOOKUP('Список деталей'!I39,обозначениКромки,4,0))</f>
        <v/>
      </c>
      <c r="M31" s="24" t="str">
        <f>IF(ISBLANK('Список деталей'!Y39),"",('Список деталей'!Y39))</f>
        <v/>
      </c>
      <c r="N31" s="3" t="str">
        <f>IF(ISBLANK('Список деталей'!Z39),"",('Список деталей'!Z39))</f>
        <v/>
      </c>
      <c r="O31" s="3" t="str">
        <f>IF(ISBLANK('Список деталей'!AA39),"",('Список деталей'!AA39))</f>
        <v/>
      </c>
      <c r="P31" s="3" t="str">
        <f>IF(ISBLANK('Список деталей'!AB39),"",('Список деталей'!AB39))</f>
        <v/>
      </c>
      <c r="Q31" s="45">
        <f>VLOOKUP(IF(ISBLANK('Список деталей'!H39)=TRUE,7,'Список деталей'!H39),кромка,2,0)+VLOOKUP(IF(ISBLANK('Список деталей'!I39)=TRUE,7,'Список деталей'!I39),кромка,2,0)+'Список деталей'!C39</f>
        <v>0</v>
      </c>
      <c r="R31" s="45">
        <f>VLOOKUP(IF(ISBLANK('Список деталей'!F39)=TRUE,7,'Список деталей'!F39),кромка,2,0)+VLOOKUP(IF(ISBLANK('Список деталей'!G39)=TRUE,7,'Список деталей'!G39),кромка,2,0)+'Список деталей'!D39</f>
        <v>0</v>
      </c>
      <c r="S31" s="42">
        <f>IF('Список деталей'!H39="",0,1)+IF('Список деталей'!I39="",0,1)+'Список деталей'!C39</f>
        <v>0</v>
      </c>
      <c r="T31" s="42">
        <f>IF('Список деталей'!F39="",0,1)+IF('Список деталей'!G39="",0,1)+'Список деталей'!D39</f>
        <v>0</v>
      </c>
      <c r="U31" s="3" t="str">
        <f>IF(ISBLANK('Список деталей'!K39),"",'Список деталей'!K39)</f>
        <v/>
      </c>
      <c r="V31" s="3" t="str">
        <f>IF(AND('Список деталей'!C39&gt;849,'Список деталей'!D39&gt;849)=TRUE,1*'Список деталей'!E39,"")</f>
        <v/>
      </c>
    </row>
    <row r="32" spans="1:22" x14ac:dyDescent="0.45">
      <c r="A32" s="3">
        <f>IF(ISNUMBER('Список деталей'!A40), 'Список деталей'!A40, "")</f>
        <v>31</v>
      </c>
      <c r="B32" s="30" t="str">
        <f>IF(ISBLANK('Список деталей'!B40),"",'Список деталей'!B40)</f>
        <v/>
      </c>
      <c r="C32" s="3" t="str">
        <f>IF(ISNUMBER('Список деталей'!C40), $W$4,"")</f>
        <v/>
      </c>
      <c r="D32" s="3" t="str">
        <f>IF(ISNUMBER('Список деталей'!C40), 'Список деталей'!$I$4,"")</f>
        <v/>
      </c>
      <c r="E32" s="24" t="str">
        <f>IF(ISNUMBER('Список деталей'!E40), 'Список деталей'!E40, "")</f>
        <v/>
      </c>
      <c r="F32" s="24" t="str">
        <f>IF(ISNUMBER('Список деталей'!C40), 'Список деталей'!C40, "")</f>
        <v/>
      </c>
      <c r="G32" s="24" t="str">
        <f>IF(ISNUMBER('Список деталей'!D40), 'Список деталей'!D40, "")</f>
        <v/>
      </c>
      <c r="H32" s="3" t="str">
        <f t="shared" si="0"/>
        <v xml:space="preserve">    </v>
      </c>
      <c r="I32" s="3" t="str">
        <f>IF(ISBLANK('Список деталей'!F40),"",VLOOKUP('Список деталей'!F40,обозначениКромки,4,0))</f>
        <v/>
      </c>
      <c r="J32" s="25" t="str">
        <f>IF(ISBLANK('Список деталей'!G40),"",VLOOKUP('Список деталей'!G40,обозначениКромки,4,0))</f>
        <v/>
      </c>
      <c r="K32" s="25" t="str">
        <f>IF(ISBLANK('Список деталей'!H40),"",VLOOKUP('Список деталей'!H40,обозначениКромки,4,0))</f>
        <v/>
      </c>
      <c r="L32" s="25" t="str">
        <f>IF(ISBLANK('Список деталей'!I40),"",VLOOKUP('Список деталей'!I40,обозначениКромки,4,0))</f>
        <v/>
      </c>
      <c r="M32" s="24" t="str">
        <f>IF(ISBLANK('Список деталей'!Y40),"",('Список деталей'!Y40))</f>
        <v/>
      </c>
      <c r="N32" s="3" t="str">
        <f>IF(ISBLANK('Список деталей'!Z40),"",('Список деталей'!Z40))</f>
        <v/>
      </c>
      <c r="O32" s="3" t="str">
        <f>IF(ISBLANK('Список деталей'!AA40),"",('Список деталей'!AA40))</f>
        <v/>
      </c>
      <c r="P32" s="3" t="str">
        <f>IF(ISBLANK('Список деталей'!AB40),"",('Список деталей'!AB40))</f>
        <v/>
      </c>
      <c r="Q32" s="45">
        <f>VLOOKUP(IF(ISBLANK('Список деталей'!H40)=TRUE,7,'Список деталей'!H40),кромка,2,0)+VLOOKUP(IF(ISBLANK('Список деталей'!I40)=TRUE,7,'Список деталей'!I40),кромка,2,0)+'Список деталей'!C40</f>
        <v>0</v>
      </c>
      <c r="R32" s="45">
        <f>VLOOKUP(IF(ISBLANK('Список деталей'!F40)=TRUE,7,'Список деталей'!F40),кромка,2,0)+VLOOKUP(IF(ISBLANK('Список деталей'!G40)=TRUE,7,'Список деталей'!G40),кромка,2,0)+'Список деталей'!D40</f>
        <v>0</v>
      </c>
      <c r="S32" s="42">
        <f>IF('Список деталей'!H40="",0,1)+IF('Список деталей'!I40="",0,1)+'Список деталей'!C40</f>
        <v>0</v>
      </c>
      <c r="T32" s="42">
        <f>IF('Список деталей'!F40="",0,1)+IF('Список деталей'!G40="",0,1)+'Список деталей'!D40</f>
        <v>0</v>
      </c>
      <c r="U32" s="3" t="str">
        <f>IF(ISBLANK('Список деталей'!K40),"",'Список деталей'!K40)</f>
        <v/>
      </c>
      <c r="V32" s="3" t="str">
        <f>IF(AND('Список деталей'!C40&gt;849,'Список деталей'!D40&gt;849)=TRUE,1*'Список деталей'!E40,"")</f>
        <v/>
      </c>
    </row>
    <row r="33" spans="1:22" x14ac:dyDescent="0.45">
      <c r="A33" s="3">
        <f>IF(ISNUMBER('Список деталей'!A41), 'Список деталей'!A41, "")</f>
        <v>32</v>
      </c>
      <c r="B33" s="30" t="str">
        <f>IF(ISBLANK('Список деталей'!B41),"",'Список деталей'!B41)</f>
        <v/>
      </c>
      <c r="C33" s="3" t="str">
        <f>IF(ISNUMBER('Список деталей'!C41), $W$4,"")</f>
        <v/>
      </c>
      <c r="D33" s="3" t="str">
        <f>IF(ISNUMBER('Список деталей'!C41), 'Список деталей'!$I$4,"")</f>
        <v/>
      </c>
      <c r="E33" s="24" t="str">
        <f>IF(ISNUMBER('Список деталей'!E41), 'Список деталей'!E41, "")</f>
        <v/>
      </c>
      <c r="F33" s="24" t="str">
        <f>IF(ISNUMBER('Список деталей'!C41), 'Список деталей'!C41, "")</f>
        <v/>
      </c>
      <c r="G33" s="24" t="str">
        <f>IF(ISNUMBER('Список деталей'!D41), 'Список деталей'!D41, "")</f>
        <v/>
      </c>
      <c r="H33" s="3" t="str">
        <f t="shared" si="0"/>
        <v xml:space="preserve">    </v>
      </c>
      <c r="I33" s="3" t="str">
        <f>IF(ISBLANK('Список деталей'!F41),"",VLOOKUP('Список деталей'!F41,обозначениКромки,4,0))</f>
        <v/>
      </c>
      <c r="J33" s="25" t="str">
        <f>IF(ISBLANK('Список деталей'!G41),"",VLOOKUP('Список деталей'!G41,обозначениКромки,4,0))</f>
        <v/>
      </c>
      <c r="K33" s="25" t="str">
        <f>IF(ISBLANK('Список деталей'!H41),"",VLOOKUP('Список деталей'!H41,обозначениКромки,4,0))</f>
        <v/>
      </c>
      <c r="L33" s="25" t="str">
        <f>IF(ISBLANK('Список деталей'!I41),"",VLOOKUP('Список деталей'!I41,обозначениКромки,4,0))</f>
        <v/>
      </c>
      <c r="M33" s="24" t="str">
        <f>IF(ISBLANK('Список деталей'!Y41),"",('Список деталей'!Y41))</f>
        <v/>
      </c>
      <c r="N33" s="3" t="str">
        <f>IF(ISBLANK('Список деталей'!Z41),"",('Список деталей'!Z41))</f>
        <v/>
      </c>
      <c r="O33" s="3" t="str">
        <f>IF(ISBLANK('Список деталей'!AA41),"",('Список деталей'!AA41))</f>
        <v/>
      </c>
      <c r="P33" s="3" t="str">
        <f>IF(ISBLANK('Список деталей'!AB41),"",('Список деталей'!AB41))</f>
        <v/>
      </c>
      <c r="Q33" s="45">
        <f>VLOOKUP(IF(ISBLANK('Список деталей'!H41)=TRUE,7,'Список деталей'!H41),кромка,2,0)+VLOOKUP(IF(ISBLANK('Список деталей'!I41)=TRUE,7,'Список деталей'!I41),кромка,2,0)+'Список деталей'!C41</f>
        <v>0</v>
      </c>
      <c r="R33" s="45">
        <f>VLOOKUP(IF(ISBLANK('Список деталей'!F41)=TRUE,7,'Список деталей'!F41),кромка,2,0)+VLOOKUP(IF(ISBLANK('Список деталей'!G41)=TRUE,7,'Список деталей'!G41),кромка,2,0)+'Список деталей'!D41</f>
        <v>0</v>
      </c>
      <c r="S33" s="42">
        <f>IF('Список деталей'!H41="",0,1)+IF('Список деталей'!I41="",0,1)+'Список деталей'!C41</f>
        <v>0</v>
      </c>
      <c r="T33" s="42">
        <f>IF('Список деталей'!F41="",0,1)+IF('Список деталей'!G41="",0,1)+'Список деталей'!D41</f>
        <v>0</v>
      </c>
      <c r="U33" s="3" t="str">
        <f>IF(ISBLANK('Список деталей'!K41),"",'Список деталей'!K41)</f>
        <v/>
      </c>
      <c r="V33" s="3" t="str">
        <f>IF(AND('Список деталей'!C41&gt;849,'Список деталей'!D41&gt;849)=TRUE,1*'Список деталей'!E41,"")</f>
        <v/>
      </c>
    </row>
    <row r="34" spans="1:22" x14ac:dyDescent="0.45">
      <c r="A34" s="3">
        <f>IF(ISNUMBER('Список деталей'!A42), 'Список деталей'!A42, "")</f>
        <v>33</v>
      </c>
      <c r="B34" s="30" t="str">
        <f>IF(ISBLANK('Список деталей'!B42),"",'Список деталей'!B42)</f>
        <v/>
      </c>
      <c r="C34" s="3" t="str">
        <f>IF(ISNUMBER('Список деталей'!C42), $W$4,"")</f>
        <v/>
      </c>
      <c r="D34" s="3" t="str">
        <f>IF(ISNUMBER('Список деталей'!C42), 'Список деталей'!$I$4,"")</f>
        <v/>
      </c>
      <c r="E34" s="24" t="str">
        <f>IF(ISNUMBER('Список деталей'!E42), 'Список деталей'!E42, "")</f>
        <v/>
      </c>
      <c r="F34" s="24" t="str">
        <f>IF(ISNUMBER('Список деталей'!C42), 'Список деталей'!C42, "")</f>
        <v/>
      </c>
      <c r="G34" s="24" t="str">
        <f>IF(ISNUMBER('Список деталей'!D42), 'Список деталей'!D42, "")</f>
        <v/>
      </c>
      <c r="H34" s="3" t="str">
        <f t="shared" si="0"/>
        <v xml:space="preserve">    </v>
      </c>
      <c r="I34" s="3" t="str">
        <f>IF(ISBLANK('Список деталей'!F42),"",VLOOKUP('Список деталей'!F42,обозначениКромки,4,0))</f>
        <v/>
      </c>
      <c r="J34" s="25" t="str">
        <f>IF(ISBLANK('Список деталей'!G42),"",VLOOKUP('Список деталей'!G42,обозначениКромки,4,0))</f>
        <v/>
      </c>
      <c r="K34" s="25" t="str">
        <f>IF(ISBLANK('Список деталей'!H42),"",VLOOKUP('Список деталей'!H42,обозначениКромки,4,0))</f>
        <v/>
      </c>
      <c r="L34" s="25" t="str">
        <f>IF(ISBLANK('Список деталей'!I42),"",VLOOKUP('Список деталей'!I42,обозначениКромки,4,0))</f>
        <v/>
      </c>
      <c r="M34" s="24" t="str">
        <f>IF(ISBLANK('Список деталей'!Y42),"",('Список деталей'!Y42))</f>
        <v/>
      </c>
      <c r="N34" s="3" t="str">
        <f>IF(ISBLANK('Список деталей'!Z42),"",('Список деталей'!Z42))</f>
        <v/>
      </c>
      <c r="O34" s="3" t="str">
        <f>IF(ISBLANK('Список деталей'!AA42),"",('Список деталей'!AA42))</f>
        <v/>
      </c>
      <c r="P34" s="3" t="str">
        <f>IF(ISBLANK('Список деталей'!AB42),"",('Список деталей'!AB42))</f>
        <v/>
      </c>
      <c r="Q34" s="45">
        <f>VLOOKUP(IF(ISBLANK('Список деталей'!H42)=TRUE,7,'Список деталей'!H42),кромка,2,0)+VLOOKUP(IF(ISBLANK('Список деталей'!I42)=TRUE,7,'Список деталей'!I42),кромка,2,0)+'Список деталей'!C42</f>
        <v>0</v>
      </c>
      <c r="R34" s="45">
        <f>VLOOKUP(IF(ISBLANK('Список деталей'!F42)=TRUE,7,'Список деталей'!F42),кромка,2,0)+VLOOKUP(IF(ISBLANK('Список деталей'!G42)=TRUE,7,'Список деталей'!G42),кромка,2,0)+'Список деталей'!D42</f>
        <v>0</v>
      </c>
      <c r="S34" s="42">
        <f>IF('Список деталей'!H42="",0,1)+IF('Список деталей'!I42="",0,1)+'Список деталей'!C42</f>
        <v>0</v>
      </c>
      <c r="T34" s="42">
        <f>IF('Список деталей'!F42="",0,1)+IF('Список деталей'!G42="",0,1)+'Список деталей'!D42</f>
        <v>0</v>
      </c>
      <c r="U34" s="3" t="str">
        <f>IF(ISBLANK('Список деталей'!K42),"",'Список деталей'!K42)</f>
        <v/>
      </c>
      <c r="V34" s="3" t="str">
        <f>IF(AND('Список деталей'!C42&gt;849,'Список деталей'!D42&gt;849)=TRUE,1*'Список деталей'!E42,"")</f>
        <v/>
      </c>
    </row>
    <row r="35" spans="1:22" x14ac:dyDescent="0.45">
      <c r="A35" s="3">
        <f>IF(ISNUMBER('Список деталей'!A43), 'Список деталей'!A43, "")</f>
        <v>34</v>
      </c>
      <c r="B35" s="30" t="str">
        <f>IF(ISBLANK('Список деталей'!B43),"",'Список деталей'!B43)</f>
        <v/>
      </c>
      <c r="C35" s="3" t="str">
        <f>IF(ISNUMBER('Список деталей'!C43), $W$4,"")</f>
        <v/>
      </c>
      <c r="D35" s="3" t="str">
        <f>IF(ISNUMBER('Список деталей'!C43), 'Список деталей'!$I$4,"")</f>
        <v/>
      </c>
      <c r="E35" s="24" t="str">
        <f>IF(ISNUMBER('Список деталей'!E43), 'Список деталей'!E43, "")</f>
        <v/>
      </c>
      <c r="F35" s="24" t="str">
        <f>IF(ISNUMBER('Список деталей'!C43), 'Список деталей'!C43, "")</f>
        <v/>
      </c>
      <c r="G35" s="24" t="str">
        <f>IF(ISNUMBER('Список деталей'!D43), 'Список деталей'!D43, "")</f>
        <v/>
      </c>
      <c r="H35" s="3" t="str">
        <f t="shared" si="0"/>
        <v xml:space="preserve">    </v>
      </c>
      <c r="I35" s="3" t="str">
        <f>IF(ISBLANK('Список деталей'!F43),"",VLOOKUP('Список деталей'!F43,обозначениКромки,4,0))</f>
        <v/>
      </c>
      <c r="J35" s="25" t="str">
        <f>IF(ISBLANK('Список деталей'!G43),"",VLOOKUP('Список деталей'!G43,обозначениКромки,4,0))</f>
        <v/>
      </c>
      <c r="K35" s="25" t="str">
        <f>IF(ISBLANK('Список деталей'!H43),"",VLOOKUP('Список деталей'!H43,обозначениКромки,4,0))</f>
        <v/>
      </c>
      <c r="L35" s="25" t="str">
        <f>IF(ISBLANK('Список деталей'!I43),"",VLOOKUP('Список деталей'!I43,обозначениКромки,4,0))</f>
        <v/>
      </c>
      <c r="M35" s="24" t="str">
        <f>IF(ISBLANK('Список деталей'!Y43),"",('Список деталей'!Y43))</f>
        <v/>
      </c>
      <c r="N35" s="3" t="str">
        <f>IF(ISBLANK('Список деталей'!Z43),"",('Список деталей'!Z43))</f>
        <v/>
      </c>
      <c r="O35" s="3" t="str">
        <f>IF(ISBLANK('Список деталей'!AA43),"",('Список деталей'!AA43))</f>
        <v/>
      </c>
      <c r="P35" s="3" t="str">
        <f>IF(ISBLANK('Список деталей'!AB43),"",('Список деталей'!AB43))</f>
        <v/>
      </c>
      <c r="Q35" s="45">
        <f>VLOOKUP(IF(ISBLANK('Список деталей'!H43)=TRUE,7,'Список деталей'!H43),кромка,2,0)+VLOOKUP(IF(ISBLANK('Список деталей'!I43)=TRUE,7,'Список деталей'!I43),кромка,2,0)+'Список деталей'!C43</f>
        <v>0</v>
      </c>
      <c r="R35" s="45">
        <f>VLOOKUP(IF(ISBLANK('Список деталей'!F43)=TRUE,7,'Список деталей'!F43),кромка,2,0)+VLOOKUP(IF(ISBLANK('Список деталей'!G43)=TRUE,7,'Список деталей'!G43),кромка,2,0)+'Список деталей'!D43</f>
        <v>0</v>
      </c>
      <c r="S35" s="42">
        <f>IF('Список деталей'!H43="",0,1)+IF('Список деталей'!I43="",0,1)+'Список деталей'!C43</f>
        <v>0</v>
      </c>
      <c r="T35" s="42">
        <f>IF('Список деталей'!F43="",0,1)+IF('Список деталей'!G43="",0,1)+'Список деталей'!D43</f>
        <v>0</v>
      </c>
      <c r="U35" s="3" t="str">
        <f>IF(ISBLANK('Список деталей'!K43),"",'Список деталей'!K43)</f>
        <v/>
      </c>
      <c r="V35" s="3" t="str">
        <f>IF(AND('Список деталей'!C43&gt;849,'Список деталей'!D43&gt;849)=TRUE,1*'Список деталей'!E43,"")</f>
        <v/>
      </c>
    </row>
    <row r="36" spans="1:22" x14ac:dyDescent="0.45">
      <c r="A36" s="3">
        <f>IF(ISNUMBER('Список деталей'!A44), 'Список деталей'!A44, "")</f>
        <v>35</v>
      </c>
      <c r="B36" s="30" t="str">
        <f>IF(ISBLANK('Список деталей'!B44),"",'Список деталей'!B44)</f>
        <v/>
      </c>
      <c r="C36" s="3" t="str">
        <f>IF(ISNUMBER('Список деталей'!C44), $W$4,"")</f>
        <v/>
      </c>
      <c r="D36" s="3" t="str">
        <f>IF(ISNUMBER('Список деталей'!C44), 'Список деталей'!$I$4,"")</f>
        <v/>
      </c>
      <c r="E36" s="24" t="str">
        <f>IF(ISNUMBER('Список деталей'!E44), 'Список деталей'!E44, "")</f>
        <v/>
      </c>
      <c r="F36" s="24" t="str">
        <f>IF(ISNUMBER('Список деталей'!C44), 'Список деталей'!C44, "")</f>
        <v/>
      </c>
      <c r="G36" s="24" t="str">
        <f>IF(ISNUMBER('Список деталей'!D44), 'Список деталей'!D44, "")</f>
        <v/>
      </c>
      <c r="H36" s="3" t="str">
        <f t="shared" si="0"/>
        <v xml:space="preserve">    </v>
      </c>
      <c r="I36" s="3" t="str">
        <f>IF(ISBLANK('Список деталей'!F44),"",VLOOKUP('Список деталей'!F44,обозначениКромки,4,0))</f>
        <v/>
      </c>
      <c r="J36" s="25" t="str">
        <f>IF(ISBLANK('Список деталей'!G44),"",VLOOKUP('Список деталей'!G44,обозначениКромки,4,0))</f>
        <v/>
      </c>
      <c r="K36" s="25" t="str">
        <f>IF(ISBLANK('Список деталей'!H44),"",VLOOKUP('Список деталей'!H44,обозначениКромки,4,0))</f>
        <v/>
      </c>
      <c r="L36" s="25" t="str">
        <f>IF(ISBLANK('Список деталей'!I44),"",VLOOKUP('Список деталей'!I44,обозначениКромки,4,0))</f>
        <v/>
      </c>
      <c r="M36" s="24" t="str">
        <f>IF(ISBLANK('Список деталей'!Y44),"",('Список деталей'!Y44))</f>
        <v/>
      </c>
      <c r="N36" s="3" t="str">
        <f>IF(ISBLANK('Список деталей'!Z44),"",('Список деталей'!Z44))</f>
        <v/>
      </c>
      <c r="O36" s="3" t="str">
        <f>IF(ISBLANK('Список деталей'!AA44),"",('Список деталей'!AA44))</f>
        <v/>
      </c>
      <c r="P36" s="3" t="str">
        <f>IF(ISBLANK('Список деталей'!AB44),"",('Список деталей'!AB44))</f>
        <v/>
      </c>
      <c r="Q36" s="45">
        <f>VLOOKUP(IF(ISBLANK('Список деталей'!H44)=TRUE,7,'Список деталей'!H44),кромка,2,0)+VLOOKUP(IF(ISBLANK('Список деталей'!I44)=TRUE,7,'Список деталей'!I44),кромка,2,0)+'Список деталей'!C44</f>
        <v>0</v>
      </c>
      <c r="R36" s="45">
        <f>VLOOKUP(IF(ISBLANK('Список деталей'!F44)=TRUE,7,'Список деталей'!F44),кромка,2,0)+VLOOKUP(IF(ISBLANK('Список деталей'!G44)=TRUE,7,'Список деталей'!G44),кромка,2,0)+'Список деталей'!D44</f>
        <v>0</v>
      </c>
      <c r="S36" s="42">
        <f>IF('Список деталей'!H44="",0,1)+IF('Список деталей'!I44="",0,1)+'Список деталей'!C44</f>
        <v>0</v>
      </c>
      <c r="T36" s="42">
        <f>IF('Список деталей'!F44="",0,1)+IF('Список деталей'!G44="",0,1)+'Список деталей'!D44</f>
        <v>0</v>
      </c>
      <c r="U36" s="3" t="str">
        <f>IF(ISBLANK('Список деталей'!K44),"",'Список деталей'!K44)</f>
        <v/>
      </c>
      <c r="V36" s="3" t="str">
        <f>IF(AND('Список деталей'!C44&gt;849,'Список деталей'!D44&gt;849)=TRUE,1*'Список деталей'!E44,"")</f>
        <v/>
      </c>
    </row>
    <row r="37" spans="1:22" x14ac:dyDescent="0.45">
      <c r="A37" s="3">
        <f>IF(ISNUMBER('Список деталей'!A45), 'Список деталей'!A45, "")</f>
        <v>36</v>
      </c>
      <c r="B37" s="30" t="str">
        <f>IF(ISBLANK('Список деталей'!B45),"",'Список деталей'!B45)</f>
        <v/>
      </c>
      <c r="C37" s="3" t="str">
        <f>IF(ISNUMBER('Список деталей'!C45), $W$4,"")</f>
        <v/>
      </c>
      <c r="D37" s="3" t="str">
        <f>IF(ISNUMBER('Список деталей'!C45), 'Список деталей'!$I$4,"")</f>
        <v/>
      </c>
      <c r="E37" s="24" t="str">
        <f>IF(ISNUMBER('Список деталей'!E45), 'Список деталей'!E45, "")</f>
        <v/>
      </c>
      <c r="F37" s="24" t="str">
        <f>IF(ISNUMBER('Список деталей'!C45), 'Список деталей'!C45, "")</f>
        <v/>
      </c>
      <c r="G37" s="24" t="str">
        <f>IF(ISNUMBER('Список деталей'!D45), 'Список деталей'!D45, "")</f>
        <v/>
      </c>
      <c r="H37" s="3" t="str">
        <f t="shared" si="0"/>
        <v xml:space="preserve">    </v>
      </c>
      <c r="I37" s="3" t="str">
        <f>IF(ISBLANK('Список деталей'!F45),"",VLOOKUP('Список деталей'!F45,обозначениКромки,4,0))</f>
        <v/>
      </c>
      <c r="J37" s="25" t="str">
        <f>IF(ISBLANK('Список деталей'!G45),"",VLOOKUP('Список деталей'!G45,обозначениКромки,4,0))</f>
        <v/>
      </c>
      <c r="K37" s="25" t="str">
        <f>IF(ISBLANK('Список деталей'!H45),"",VLOOKUP('Список деталей'!H45,обозначениКромки,4,0))</f>
        <v/>
      </c>
      <c r="L37" s="25" t="str">
        <f>IF(ISBLANK('Список деталей'!I45),"",VLOOKUP('Список деталей'!I45,обозначениКромки,4,0))</f>
        <v/>
      </c>
      <c r="M37" s="24" t="str">
        <f>IF(ISBLANK('Список деталей'!Y45),"",('Список деталей'!Y45))</f>
        <v/>
      </c>
      <c r="N37" s="3" t="str">
        <f>IF(ISBLANK('Список деталей'!Z45),"",('Список деталей'!Z45))</f>
        <v/>
      </c>
      <c r="O37" s="3" t="str">
        <f>IF(ISBLANK('Список деталей'!AA45),"",('Список деталей'!AA45))</f>
        <v/>
      </c>
      <c r="P37" s="3" t="str">
        <f>IF(ISBLANK('Список деталей'!AB45),"",('Список деталей'!AB45))</f>
        <v/>
      </c>
      <c r="Q37" s="45">
        <f>VLOOKUP(IF(ISBLANK('Список деталей'!H45)=TRUE,7,'Список деталей'!H45),кромка,2,0)+VLOOKUP(IF(ISBLANK('Список деталей'!I45)=TRUE,7,'Список деталей'!I45),кромка,2,0)+'Список деталей'!C45</f>
        <v>0</v>
      </c>
      <c r="R37" s="45">
        <f>VLOOKUP(IF(ISBLANK('Список деталей'!F45)=TRUE,7,'Список деталей'!F45),кромка,2,0)+VLOOKUP(IF(ISBLANK('Список деталей'!G45)=TRUE,7,'Список деталей'!G45),кромка,2,0)+'Список деталей'!D45</f>
        <v>0</v>
      </c>
      <c r="S37" s="42">
        <f>IF('Список деталей'!H45="",0,1)+IF('Список деталей'!I45="",0,1)+'Список деталей'!C45</f>
        <v>0</v>
      </c>
      <c r="T37" s="42">
        <f>IF('Список деталей'!F45="",0,1)+IF('Список деталей'!G45="",0,1)+'Список деталей'!D45</f>
        <v>0</v>
      </c>
      <c r="U37" s="3" t="str">
        <f>IF(ISBLANK('Список деталей'!K45),"",'Список деталей'!K45)</f>
        <v/>
      </c>
      <c r="V37" s="3" t="str">
        <f>IF(AND('Список деталей'!C45&gt;849,'Список деталей'!D45&gt;849)=TRUE,1*'Список деталей'!E45,"")</f>
        <v/>
      </c>
    </row>
    <row r="38" spans="1:22" x14ac:dyDescent="0.45">
      <c r="A38" s="3">
        <f>IF(ISNUMBER('Список деталей'!A46), 'Список деталей'!A46, "")</f>
        <v>37</v>
      </c>
      <c r="B38" s="30" t="str">
        <f>IF(ISBLANK('Список деталей'!B46),"",'Список деталей'!B46)</f>
        <v/>
      </c>
      <c r="C38" s="3" t="str">
        <f>IF(ISNUMBER('Список деталей'!C46), $W$4,"")</f>
        <v/>
      </c>
      <c r="D38" s="3" t="str">
        <f>IF(ISNUMBER('Список деталей'!C46), 'Список деталей'!$I$4,"")</f>
        <v/>
      </c>
      <c r="E38" s="24" t="str">
        <f>IF(ISNUMBER('Список деталей'!E46), 'Список деталей'!E46, "")</f>
        <v/>
      </c>
      <c r="F38" s="24" t="str">
        <f>IF(ISNUMBER('Список деталей'!C46), 'Список деталей'!C46, "")</f>
        <v/>
      </c>
      <c r="G38" s="24" t="str">
        <f>IF(ISNUMBER('Список деталей'!D46), 'Список деталей'!D46, "")</f>
        <v/>
      </c>
      <c r="H38" s="3" t="str">
        <f t="shared" si="0"/>
        <v xml:space="preserve">    </v>
      </c>
      <c r="I38" s="3" t="str">
        <f>IF(ISBLANK('Список деталей'!F46),"",VLOOKUP('Список деталей'!F46,обозначениКромки,4,0))</f>
        <v/>
      </c>
      <c r="J38" s="25" t="str">
        <f>IF(ISBLANK('Список деталей'!G46),"",VLOOKUP('Список деталей'!G46,обозначениКромки,4,0))</f>
        <v/>
      </c>
      <c r="K38" s="25" t="str">
        <f>IF(ISBLANK('Список деталей'!H46),"",VLOOKUP('Список деталей'!H46,обозначениКромки,4,0))</f>
        <v/>
      </c>
      <c r="L38" s="25" t="str">
        <f>IF(ISBLANK('Список деталей'!I46),"",VLOOKUP('Список деталей'!I46,обозначениКромки,4,0))</f>
        <v/>
      </c>
      <c r="M38" s="24" t="str">
        <f>IF(ISBLANK('Список деталей'!Y46),"",('Список деталей'!Y46))</f>
        <v/>
      </c>
      <c r="N38" s="3" t="str">
        <f>IF(ISBLANK('Список деталей'!Z46),"",('Список деталей'!Z46))</f>
        <v/>
      </c>
      <c r="O38" s="3" t="str">
        <f>IF(ISBLANK('Список деталей'!AA46),"",('Список деталей'!AA46))</f>
        <v/>
      </c>
      <c r="P38" s="3" t="str">
        <f>IF(ISBLANK('Список деталей'!AB46),"",('Список деталей'!AB46))</f>
        <v/>
      </c>
      <c r="Q38" s="45">
        <f>VLOOKUP(IF(ISBLANK('Список деталей'!H46)=TRUE,7,'Список деталей'!H46),кромка,2,0)+VLOOKUP(IF(ISBLANK('Список деталей'!I46)=TRUE,7,'Список деталей'!I46),кромка,2,0)+'Список деталей'!C46</f>
        <v>0</v>
      </c>
      <c r="R38" s="45">
        <f>VLOOKUP(IF(ISBLANK('Список деталей'!F46)=TRUE,7,'Список деталей'!F46),кромка,2,0)+VLOOKUP(IF(ISBLANK('Список деталей'!G46)=TRUE,7,'Список деталей'!G46),кромка,2,0)+'Список деталей'!D46</f>
        <v>0</v>
      </c>
      <c r="S38" s="42">
        <f>IF('Список деталей'!H46="",0,1)+IF('Список деталей'!I46="",0,1)+'Список деталей'!C46</f>
        <v>0</v>
      </c>
      <c r="T38" s="42">
        <f>IF('Список деталей'!F46="",0,1)+IF('Список деталей'!G46="",0,1)+'Список деталей'!D46</f>
        <v>0</v>
      </c>
      <c r="U38" s="3" t="str">
        <f>IF(ISBLANK('Список деталей'!K46),"",'Список деталей'!K46)</f>
        <v/>
      </c>
      <c r="V38" s="3" t="str">
        <f>IF(AND('Список деталей'!C46&gt;849,'Список деталей'!D46&gt;849)=TRUE,1*'Список деталей'!E46,"")</f>
        <v/>
      </c>
    </row>
    <row r="39" spans="1:22" x14ac:dyDescent="0.45">
      <c r="A39" s="3">
        <f>IF(ISNUMBER('Список деталей'!A47), 'Список деталей'!A47, "")</f>
        <v>38</v>
      </c>
      <c r="B39" s="30" t="str">
        <f>IF(ISBLANK('Список деталей'!B47),"",'Список деталей'!B47)</f>
        <v/>
      </c>
      <c r="C39" s="3" t="str">
        <f>IF(ISNUMBER('Список деталей'!C47), $W$4,"")</f>
        <v/>
      </c>
      <c r="D39" s="3" t="str">
        <f>IF(ISNUMBER('Список деталей'!C47), 'Список деталей'!$I$4,"")</f>
        <v/>
      </c>
      <c r="E39" s="24" t="str">
        <f>IF(ISNUMBER('Список деталей'!E47), 'Список деталей'!E47, "")</f>
        <v/>
      </c>
      <c r="F39" s="24" t="str">
        <f>IF(ISNUMBER('Список деталей'!C47), 'Список деталей'!C47, "")</f>
        <v/>
      </c>
      <c r="G39" s="24" t="str">
        <f>IF(ISNUMBER('Список деталей'!D47), 'Список деталей'!D47, "")</f>
        <v/>
      </c>
      <c r="H39" s="3" t="str">
        <f t="shared" si="0"/>
        <v xml:space="preserve">    </v>
      </c>
      <c r="I39" s="3" t="str">
        <f>IF(ISBLANK('Список деталей'!F47),"",VLOOKUP('Список деталей'!F47,обозначениКромки,4,0))</f>
        <v/>
      </c>
      <c r="J39" s="25" t="str">
        <f>IF(ISBLANK('Список деталей'!G47),"",VLOOKUP('Список деталей'!G47,обозначениКромки,4,0))</f>
        <v/>
      </c>
      <c r="K39" s="25" t="str">
        <f>IF(ISBLANK('Список деталей'!H47),"",VLOOKUP('Список деталей'!H47,обозначениКромки,4,0))</f>
        <v/>
      </c>
      <c r="L39" s="25" t="str">
        <f>IF(ISBLANK('Список деталей'!I47),"",VLOOKUP('Список деталей'!I47,обозначениКромки,4,0))</f>
        <v/>
      </c>
      <c r="M39" s="24" t="str">
        <f>IF(ISBLANK('Список деталей'!Y47),"",('Список деталей'!Y47))</f>
        <v/>
      </c>
      <c r="N39" s="3" t="str">
        <f>IF(ISBLANK('Список деталей'!Z47),"",('Список деталей'!Z47))</f>
        <v/>
      </c>
      <c r="O39" s="3" t="str">
        <f>IF(ISBLANK('Список деталей'!AA47),"",('Список деталей'!AA47))</f>
        <v/>
      </c>
      <c r="P39" s="3" t="str">
        <f>IF(ISBLANK('Список деталей'!AB47),"",('Список деталей'!AB47))</f>
        <v/>
      </c>
      <c r="Q39" s="45">
        <f>VLOOKUP(IF(ISBLANK('Список деталей'!H47)=TRUE,7,'Список деталей'!H47),кромка,2,0)+VLOOKUP(IF(ISBLANK('Список деталей'!I47)=TRUE,7,'Список деталей'!I47),кромка,2,0)+'Список деталей'!C47</f>
        <v>0</v>
      </c>
      <c r="R39" s="45">
        <f>VLOOKUP(IF(ISBLANK('Список деталей'!F47)=TRUE,7,'Список деталей'!F47),кромка,2,0)+VLOOKUP(IF(ISBLANK('Список деталей'!G47)=TRUE,7,'Список деталей'!G47),кромка,2,0)+'Список деталей'!D47</f>
        <v>0</v>
      </c>
      <c r="S39" s="42">
        <f>IF('Список деталей'!H47="",0,1)+IF('Список деталей'!I47="",0,1)+'Список деталей'!C47</f>
        <v>0</v>
      </c>
      <c r="T39" s="42">
        <f>IF('Список деталей'!F47="",0,1)+IF('Список деталей'!G47="",0,1)+'Список деталей'!D47</f>
        <v>0</v>
      </c>
      <c r="U39" s="3" t="str">
        <f>IF(ISBLANK('Список деталей'!K47),"",'Список деталей'!K47)</f>
        <v/>
      </c>
      <c r="V39" s="3" t="str">
        <f>IF(AND('Список деталей'!C47&gt;849,'Список деталей'!D47&gt;849)=TRUE,1*'Список деталей'!E47,"")</f>
        <v/>
      </c>
    </row>
    <row r="40" spans="1:22" x14ac:dyDescent="0.45">
      <c r="A40" s="3">
        <f>IF(ISNUMBER('Список деталей'!A48), 'Список деталей'!A48, "")</f>
        <v>39</v>
      </c>
      <c r="B40" s="30" t="str">
        <f>IF(ISBLANK('Список деталей'!B48),"",'Список деталей'!B48)</f>
        <v/>
      </c>
      <c r="C40" s="3" t="str">
        <f>IF(ISNUMBER('Список деталей'!C48), $W$4,"")</f>
        <v/>
      </c>
      <c r="D40" s="3" t="str">
        <f>IF(ISNUMBER('Список деталей'!C48), 'Список деталей'!$I$4,"")</f>
        <v/>
      </c>
      <c r="E40" s="24" t="str">
        <f>IF(ISNUMBER('Список деталей'!E48), 'Список деталей'!E48, "")</f>
        <v/>
      </c>
      <c r="F40" s="24" t="str">
        <f>IF(ISNUMBER('Список деталей'!C48), 'Список деталей'!C48, "")</f>
        <v/>
      </c>
      <c r="G40" s="24" t="str">
        <f>IF(ISNUMBER('Список деталей'!D48), 'Список деталей'!D48, "")</f>
        <v/>
      </c>
      <c r="H40" s="3" t="str">
        <f t="shared" si="0"/>
        <v xml:space="preserve">    </v>
      </c>
      <c r="I40" s="3" t="str">
        <f>IF(ISBLANK('Список деталей'!F48),"",VLOOKUP('Список деталей'!F48,обозначениКромки,4,0))</f>
        <v/>
      </c>
      <c r="J40" s="25" t="str">
        <f>IF(ISBLANK('Список деталей'!G48),"",VLOOKUP('Список деталей'!G48,обозначениКромки,4,0))</f>
        <v/>
      </c>
      <c r="K40" s="25" t="str">
        <f>IF(ISBLANK('Список деталей'!H48),"",VLOOKUP('Список деталей'!H48,обозначениКромки,4,0))</f>
        <v/>
      </c>
      <c r="L40" s="25" t="str">
        <f>IF(ISBLANK('Список деталей'!I48),"",VLOOKUP('Список деталей'!I48,обозначениКромки,4,0))</f>
        <v/>
      </c>
      <c r="M40" s="24" t="str">
        <f>IF(ISBLANK('Список деталей'!Y48),"",('Список деталей'!Y48))</f>
        <v/>
      </c>
      <c r="N40" s="3" t="str">
        <f>IF(ISBLANK('Список деталей'!Z48),"",('Список деталей'!Z48))</f>
        <v/>
      </c>
      <c r="O40" s="3" t="str">
        <f>IF(ISBLANK('Список деталей'!AA48),"",('Список деталей'!AA48))</f>
        <v/>
      </c>
      <c r="P40" s="3" t="str">
        <f>IF(ISBLANK('Список деталей'!AB48),"",('Список деталей'!AB48))</f>
        <v/>
      </c>
      <c r="Q40" s="45">
        <f>VLOOKUP(IF(ISBLANK('Список деталей'!H48)=TRUE,7,'Список деталей'!H48),кромка,2,0)+VLOOKUP(IF(ISBLANK('Список деталей'!I48)=TRUE,7,'Список деталей'!I48),кромка,2,0)+'Список деталей'!C48</f>
        <v>0</v>
      </c>
      <c r="R40" s="45">
        <f>VLOOKUP(IF(ISBLANK('Список деталей'!F48)=TRUE,7,'Список деталей'!F48),кромка,2,0)+VLOOKUP(IF(ISBLANK('Список деталей'!G48)=TRUE,7,'Список деталей'!G48),кромка,2,0)+'Список деталей'!D48</f>
        <v>0</v>
      </c>
      <c r="S40" s="42">
        <f>IF('Список деталей'!H48="",0,1)+IF('Список деталей'!I48="",0,1)+'Список деталей'!C48</f>
        <v>0</v>
      </c>
      <c r="T40" s="42">
        <f>IF('Список деталей'!F48="",0,1)+IF('Список деталей'!G48="",0,1)+'Список деталей'!D48</f>
        <v>0</v>
      </c>
      <c r="U40" s="3" t="str">
        <f>IF(ISBLANK('Список деталей'!K48),"",'Список деталей'!K48)</f>
        <v/>
      </c>
      <c r="V40" s="3" t="str">
        <f>IF(AND('Список деталей'!C48&gt;849,'Список деталей'!D48&gt;849)=TRUE,1*'Список деталей'!E48,"")</f>
        <v/>
      </c>
    </row>
    <row r="41" spans="1:22" x14ac:dyDescent="0.45">
      <c r="A41" s="3">
        <f>IF(ISNUMBER('Список деталей'!A49), 'Список деталей'!A49, "")</f>
        <v>40</v>
      </c>
      <c r="B41" s="30" t="str">
        <f>IF(ISBLANK('Список деталей'!B49),"",'Список деталей'!B49)</f>
        <v/>
      </c>
      <c r="C41" s="3" t="str">
        <f>IF(ISNUMBER('Список деталей'!C49), $W$4,"")</f>
        <v/>
      </c>
      <c r="D41" s="3" t="str">
        <f>IF(ISNUMBER('Список деталей'!C49), 'Список деталей'!$I$4,"")</f>
        <v/>
      </c>
      <c r="E41" s="24" t="str">
        <f>IF(ISNUMBER('Список деталей'!E49), 'Список деталей'!E49, "")</f>
        <v/>
      </c>
      <c r="F41" s="24" t="str">
        <f>IF(ISNUMBER('Список деталей'!C49), 'Список деталей'!C49, "")</f>
        <v/>
      </c>
      <c r="G41" s="24" t="str">
        <f>IF(ISNUMBER('Список деталей'!D49), 'Список деталей'!D49, "")</f>
        <v/>
      </c>
      <c r="H41" s="3" t="str">
        <f t="shared" si="0"/>
        <v xml:space="preserve">    </v>
      </c>
      <c r="I41" s="3" t="str">
        <f>IF(ISBLANK('Список деталей'!F49),"",VLOOKUP('Список деталей'!F49,обозначениКромки,4,0))</f>
        <v/>
      </c>
      <c r="J41" s="25" t="str">
        <f>IF(ISBLANK('Список деталей'!G49),"",VLOOKUP('Список деталей'!G49,обозначениКромки,4,0))</f>
        <v/>
      </c>
      <c r="K41" s="25" t="str">
        <f>IF(ISBLANK('Список деталей'!H49),"",VLOOKUP('Список деталей'!H49,обозначениКромки,4,0))</f>
        <v/>
      </c>
      <c r="L41" s="25" t="str">
        <f>IF(ISBLANK('Список деталей'!I49),"",VLOOKUP('Список деталей'!I49,обозначениКромки,4,0))</f>
        <v/>
      </c>
      <c r="M41" s="24" t="str">
        <f>IF(ISBLANK('Список деталей'!Y49),"",('Список деталей'!Y49))</f>
        <v/>
      </c>
      <c r="N41" s="3" t="str">
        <f>IF(ISBLANK('Список деталей'!Z49),"",('Список деталей'!Z49))</f>
        <v/>
      </c>
      <c r="O41" s="3" t="str">
        <f>IF(ISBLANK('Список деталей'!AA49),"",('Список деталей'!AA49))</f>
        <v/>
      </c>
      <c r="P41" s="3" t="str">
        <f>IF(ISBLANK('Список деталей'!AB49),"",('Список деталей'!AB49))</f>
        <v/>
      </c>
      <c r="Q41" s="45">
        <f>VLOOKUP(IF(ISBLANK('Список деталей'!H49)=TRUE,7,'Список деталей'!H49),кромка,2,0)+VLOOKUP(IF(ISBLANK('Список деталей'!I49)=TRUE,7,'Список деталей'!I49),кромка,2,0)+'Список деталей'!C49</f>
        <v>0</v>
      </c>
      <c r="R41" s="45">
        <f>VLOOKUP(IF(ISBLANK('Список деталей'!F49)=TRUE,7,'Список деталей'!F49),кромка,2,0)+VLOOKUP(IF(ISBLANK('Список деталей'!G49)=TRUE,7,'Список деталей'!G49),кромка,2,0)+'Список деталей'!D49</f>
        <v>0</v>
      </c>
      <c r="S41" s="42">
        <f>IF('Список деталей'!H49="",0,1)+IF('Список деталей'!I49="",0,1)+'Список деталей'!C49</f>
        <v>0</v>
      </c>
      <c r="T41" s="42">
        <f>IF('Список деталей'!F49="",0,1)+IF('Список деталей'!G49="",0,1)+'Список деталей'!D49</f>
        <v>0</v>
      </c>
      <c r="U41" s="3" t="str">
        <f>IF(ISBLANK('Список деталей'!K49),"",'Список деталей'!K49)</f>
        <v/>
      </c>
      <c r="V41" s="3" t="str">
        <f>IF(AND('Список деталей'!C49&gt;849,'Список деталей'!D49&gt;849)=TRUE,1*'Список деталей'!E49,"")</f>
        <v/>
      </c>
    </row>
    <row r="42" spans="1:22" x14ac:dyDescent="0.45">
      <c r="A42" s="3">
        <f>IF(ISNUMBER('Список деталей'!A50), 'Список деталей'!A50, "")</f>
        <v>41</v>
      </c>
      <c r="B42" s="30" t="str">
        <f>IF(ISBLANK('Список деталей'!B50),"",'Список деталей'!B50)</f>
        <v/>
      </c>
      <c r="C42" s="3" t="str">
        <f>IF(ISNUMBER('Список деталей'!C50), $W$4,"")</f>
        <v/>
      </c>
      <c r="D42" s="3" t="str">
        <f>IF(ISNUMBER('Список деталей'!C50), 'Список деталей'!$I$4,"")</f>
        <v/>
      </c>
      <c r="E42" s="24" t="str">
        <f>IF(ISNUMBER('Список деталей'!E50), 'Список деталей'!E50, "")</f>
        <v/>
      </c>
      <c r="F42" s="24" t="str">
        <f>IF(ISNUMBER('Список деталей'!C50), 'Список деталей'!C50, "")</f>
        <v/>
      </c>
      <c r="G42" s="24" t="str">
        <f>IF(ISNUMBER('Список деталей'!D50), 'Список деталей'!D50, "")</f>
        <v/>
      </c>
      <c r="H42" s="3" t="str">
        <f t="shared" si="0"/>
        <v xml:space="preserve">    </v>
      </c>
      <c r="I42" s="3" t="str">
        <f>IF(ISBLANK('Список деталей'!F50),"",VLOOKUP('Список деталей'!F50,обозначениКромки,4,0))</f>
        <v/>
      </c>
      <c r="J42" s="25" t="str">
        <f>IF(ISBLANK('Список деталей'!G50),"",VLOOKUP('Список деталей'!G50,обозначениКромки,4,0))</f>
        <v/>
      </c>
      <c r="K42" s="25" t="str">
        <f>IF(ISBLANK('Список деталей'!H50),"",VLOOKUP('Список деталей'!H50,обозначениКромки,4,0))</f>
        <v/>
      </c>
      <c r="L42" s="25" t="str">
        <f>IF(ISBLANK('Список деталей'!I50),"",VLOOKUP('Список деталей'!I50,обозначениКромки,4,0))</f>
        <v/>
      </c>
      <c r="M42" s="24" t="str">
        <f>IF(ISBLANK('Список деталей'!Y50),"",('Список деталей'!Y50))</f>
        <v/>
      </c>
      <c r="N42" s="3" t="str">
        <f>IF(ISBLANK('Список деталей'!Z50),"",('Список деталей'!Z50))</f>
        <v/>
      </c>
      <c r="O42" s="3" t="str">
        <f>IF(ISBLANK('Список деталей'!AA50),"",('Список деталей'!AA50))</f>
        <v/>
      </c>
      <c r="P42" s="3" t="str">
        <f>IF(ISBLANK('Список деталей'!AB50),"",('Список деталей'!AB50))</f>
        <v/>
      </c>
      <c r="Q42" s="45">
        <f>VLOOKUP(IF(ISBLANK('Список деталей'!H50)=TRUE,7,'Список деталей'!H50),кромка,2,0)+VLOOKUP(IF(ISBLANK('Список деталей'!I50)=TRUE,7,'Список деталей'!I50),кромка,2,0)+'Список деталей'!C50</f>
        <v>0</v>
      </c>
      <c r="R42" s="45">
        <f>VLOOKUP(IF(ISBLANK('Список деталей'!F50)=TRUE,7,'Список деталей'!F50),кромка,2,0)+VLOOKUP(IF(ISBLANK('Список деталей'!G50)=TRUE,7,'Список деталей'!G50),кромка,2,0)+'Список деталей'!D50</f>
        <v>0</v>
      </c>
      <c r="S42" s="42">
        <f>IF('Список деталей'!H50="",0,1)+IF('Список деталей'!I50="",0,1)+'Список деталей'!C50</f>
        <v>0</v>
      </c>
      <c r="T42" s="42">
        <f>IF('Список деталей'!F50="",0,1)+IF('Список деталей'!G50="",0,1)+'Список деталей'!D50</f>
        <v>0</v>
      </c>
      <c r="U42" s="3" t="str">
        <f>IF(ISBLANK('Список деталей'!K50),"",'Список деталей'!K50)</f>
        <v/>
      </c>
      <c r="V42" s="3" t="str">
        <f>IF(AND('Список деталей'!C50&gt;849,'Список деталей'!D50&gt;849)=TRUE,1*'Список деталей'!E50,"")</f>
        <v/>
      </c>
    </row>
    <row r="43" spans="1:22" x14ac:dyDescent="0.45">
      <c r="A43" s="3">
        <f>IF(ISNUMBER('Список деталей'!A51), 'Список деталей'!A51, "")</f>
        <v>42</v>
      </c>
      <c r="B43" s="30" t="str">
        <f>IF(ISBLANK('Список деталей'!B51),"",'Список деталей'!B51)</f>
        <v/>
      </c>
      <c r="C43" s="3" t="str">
        <f>IF(ISNUMBER('Список деталей'!C51), $W$4,"")</f>
        <v/>
      </c>
      <c r="D43" s="3" t="str">
        <f>IF(ISNUMBER('Список деталей'!C51), 'Список деталей'!$I$4,"")</f>
        <v/>
      </c>
      <c r="E43" s="24" t="str">
        <f>IF(ISNUMBER('Список деталей'!E51), 'Список деталей'!E51, "")</f>
        <v/>
      </c>
      <c r="F43" s="24" t="str">
        <f>IF(ISNUMBER('Список деталей'!C51), 'Список деталей'!C51, "")</f>
        <v/>
      </c>
      <c r="G43" s="24" t="str">
        <f>IF(ISNUMBER('Список деталей'!D51), 'Список деталей'!D51, "")</f>
        <v/>
      </c>
      <c r="H43" s="3" t="str">
        <f t="shared" si="0"/>
        <v xml:space="preserve">    </v>
      </c>
      <c r="I43" s="3" t="str">
        <f>IF(ISBLANK('Список деталей'!F51),"",VLOOKUP('Список деталей'!F51,обозначениКромки,4,0))</f>
        <v/>
      </c>
      <c r="J43" s="25" t="str">
        <f>IF(ISBLANK('Список деталей'!G51),"",VLOOKUP('Список деталей'!G51,обозначениКромки,4,0))</f>
        <v/>
      </c>
      <c r="K43" s="25" t="str">
        <f>IF(ISBLANK('Список деталей'!H51),"",VLOOKUP('Список деталей'!H51,обозначениКромки,4,0))</f>
        <v/>
      </c>
      <c r="L43" s="25" t="str">
        <f>IF(ISBLANK('Список деталей'!I51),"",VLOOKUP('Список деталей'!I51,обозначениКромки,4,0))</f>
        <v/>
      </c>
      <c r="M43" s="24" t="str">
        <f>IF(ISBLANK('Список деталей'!Y51),"",('Список деталей'!Y51))</f>
        <v/>
      </c>
      <c r="N43" s="3" t="str">
        <f>IF(ISBLANK('Список деталей'!Z51),"",('Список деталей'!Z51))</f>
        <v/>
      </c>
      <c r="O43" s="3" t="str">
        <f>IF(ISBLANK('Список деталей'!AA51),"",('Список деталей'!AA51))</f>
        <v/>
      </c>
      <c r="P43" s="3" t="str">
        <f>IF(ISBLANK('Список деталей'!AB51),"",('Список деталей'!AB51))</f>
        <v/>
      </c>
      <c r="Q43" s="45">
        <f>VLOOKUP(IF(ISBLANK('Список деталей'!H51)=TRUE,7,'Список деталей'!H51),кромка,2,0)+VLOOKUP(IF(ISBLANK('Список деталей'!I51)=TRUE,7,'Список деталей'!I51),кромка,2,0)+'Список деталей'!C51</f>
        <v>0</v>
      </c>
      <c r="R43" s="45">
        <f>VLOOKUP(IF(ISBLANK('Список деталей'!F51)=TRUE,7,'Список деталей'!F51),кромка,2,0)+VLOOKUP(IF(ISBLANK('Список деталей'!G51)=TRUE,7,'Список деталей'!G51),кромка,2,0)+'Список деталей'!D51</f>
        <v>0</v>
      </c>
      <c r="S43" s="42">
        <f>IF('Список деталей'!H51="",0,1)+IF('Список деталей'!I51="",0,1)+'Список деталей'!C51</f>
        <v>0</v>
      </c>
      <c r="T43" s="42">
        <f>IF('Список деталей'!F51="",0,1)+IF('Список деталей'!G51="",0,1)+'Список деталей'!D51</f>
        <v>0</v>
      </c>
      <c r="U43" s="3" t="str">
        <f>IF(ISBLANK('Список деталей'!K51),"",'Список деталей'!K51)</f>
        <v/>
      </c>
      <c r="V43" s="3" t="str">
        <f>IF(AND('Список деталей'!C51&gt;849,'Список деталей'!D51&gt;849)=TRUE,1*'Список деталей'!E51,"")</f>
        <v/>
      </c>
    </row>
    <row r="44" spans="1:22" x14ac:dyDescent="0.45">
      <c r="A44" s="3">
        <f>IF(ISNUMBER('Список деталей'!A52), 'Список деталей'!A52, "")</f>
        <v>43</v>
      </c>
      <c r="B44" s="30" t="str">
        <f>IF(ISBLANK('Список деталей'!B52),"",'Список деталей'!B52)</f>
        <v/>
      </c>
      <c r="C44" s="3" t="str">
        <f>IF(ISNUMBER('Список деталей'!C52), $W$4,"")</f>
        <v/>
      </c>
      <c r="D44" s="3" t="str">
        <f>IF(ISNUMBER('Список деталей'!C52), 'Список деталей'!$I$4,"")</f>
        <v/>
      </c>
      <c r="E44" s="24" t="str">
        <f>IF(ISNUMBER('Список деталей'!E52), 'Список деталей'!E52, "")</f>
        <v/>
      </c>
      <c r="F44" s="24" t="str">
        <f>IF(ISNUMBER('Список деталей'!C52), 'Список деталей'!C52, "")</f>
        <v/>
      </c>
      <c r="G44" s="24" t="str">
        <f>IF(ISNUMBER('Список деталей'!D52), 'Список деталей'!D52, "")</f>
        <v/>
      </c>
      <c r="H44" s="3" t="str">
        <f t="shared" si="0"/>
        <v xml:space="preserve">    </v>
      </c>
      <c r="I44" s="3" t="str">
        <f>IF(ISBLANK('Список деталей'!F52),"",VLOOKUP('Список деталей'!F52,обозначениКромки,4,0))</f>
        <v/>
      </c>
      <c r="J44" s="25" t="str">
        <f>IF(ISBLANK('Список деталей'!G52),"",VLOOKUP('Список деталей'!G52,обозначениКромки,4,0))</f>
        <v/>
      </c>
      <c r="K44" s="25" t="str">
        <f>IF(ISBLANK('Список деталей'!H52),"",VLOOKUP('Список деталей'!H52,обозначениКромки,4,0))</f>
        <v/>
      </c>
      <c r="L44" s="25" t="str">
        <f>IF(ISBLANK('Список деталей'!I52),"",VLOOKUP('Список деталей'!I52,обозначениКромки,4,0))</f>
        <v/>
      </c>
      <c r="M44" s="24" t="str">
        <f>IF(ISBLANK('Список деталей'!Y52),"",('Список деталей'!Y52))</f>
        <v/>
      </c>
      <c r="N44" s="3" t="str">
        <f>IF(ISBLANK('Список деталей'!Z52),"",('Список деталей'!Z52))</f>
        <v/>
      </c>
      <c r="O44" s="3" t="str">
        <f>IF(ISBLANK('Список деталей'!AA52),"",('Список деталей'!AA52))</f>
        <v/>
      </c>
      <c r="P44" s="3" t="str">
        <f>IF(ISBLANK('Список деталей'!AB52),"",('Список деталей'!AB52))</f>
        <v/>
      </c>
      <c r="Q44" s="45">
        <f>VLOOKUP(IF(ISBLANK('Список деталей'!H52)=TRUE,7,'Список деталей'!H52),кромка,2,0)+VLOOKUP(IF(ISBLANK('Список деталей'!I52)=TRUE,7,'Список деталей'!I52),кромка,2,0)+'Список деталей'!C52</f>
        <v>0</v>
      </c>
      <c r="R44" s="45">
        <f>VLOOKUP(IF(ISBLANK('Список деталей'!F52)=TRUE,7,'Список деталей'!F52),кромка,2,0)+VLOOKUP(IF(ISBLANK('Список деталей'!G52)=TRUE,7,'Список деталей'!G52),кромка,2,0)+'Список деталей'!D52</f>
        <v>0</v>
      </c>
      <c r="S44" s="42">
        <f>IF('Список деталей'!H52="",0,1)+IF('Список деталей'!I52="",0,1)+'Список деталей'!C52</f>
        <v>0</v>
      </c>
      <c r="T44" s="42">
        <f>IF('Список деталей'!F52="",0,1)+IF('Список деталей'!G52="",0,1)+'Список деталей'!D52</f>
        <v>0</v>
      </c>
      <c r="U44" s="3" t="str">
        <f>IF(ISBLANK('Список деталей'!K52),"",'Список деталей'!K52)</f>
        <v/>
      </c>
      <c r="V44" s="3" t="str">
        <f>IF(AND('Список деталей'!C52&gt;849,'Список деталей'!D52&gt;849)=TRUE,1*'Список деталей'!E52,"")</f>
        <v/>
      </c>
    </row>
    <row r="45" spans="1:22" x14ac:dyDescent="0.45">
      <c r="A45" s="3">
        <f>IF(ISNUMBER('Список деталей'!A53), 'Список деталей'!A53, "")</f>
        <v>44</v>
      </c>
      <c r="B45" s="30" t="str">
        <f>IF(ISBLANK('Список деталей'!B53),"",'Список деталей'!B53)</f>
        <v/>
      </c>
      <c r="C45" s="3" t="str">
        <f>IF(ISNUMBER('Список деталей'!C53), $W$4,"")</f>
        <v/>
      </c>
      <c r="D45" s="3" t="str">
        <f>IF(ISNUMBER('Список деталей'!C53), 'Список деталей'!$I$4,"")</f>
        <v/>
      </c>
      <c r="E45" s="24" t="str">
        <f>IF(ISNUMBER('Список деталей'!E53), 'Список деталей'!E53, "")</f>
        <v/>
      </c>
      <c r="F45" s="24" t="str">
        <f>IF(ISNUMBER('Список деталей'!C53), 'Список деталей'!C53, "")</f>
        <v/>
      </c>
      <c r="G45" s="24" t="str">
        <f>IF(ISNUMBER('Список деталей'!D53), 'Список деталей'!D53, "")</f>
        <v/>
      </c>
      <c r="H45" s="3" t="str">
        <f t="shared" si="0"/>
        <v xml:space="preserve">    </v>
      </c>
      <c r="I45" s="3" t="str">
        <f>IF(ISBLANK('Список деталей'!F53),"",VLOOKUP('Список деталей'!F53,обозначениКромки,4,0))</f>
        <v/>
      </c>
      <c r="J45" s="25" t="str">
        <f>IF(ISBLANK('Список деталей'!G53),"",VLOOKUP('Список деталей'!G53,обозначениКромки,4,0))</f>
        <v/>
      </c>
      <c r="K45" s="25" t="str">
        <f>IF(ISBLANK('Список деталей'!H53),"",VLOOKUP('Список деталей'!H53,обозначениКромки,4,0))</f>
        <v/>
      </c>
      <c r="L45" s="25" t="str">
        <f>IF(ISBLANK('Список деталей'!I53),"",VLOOKUP('Список деталей'!I53,обозначениКромки,4,0))</f>
        <v/>
      </c>
      <c r="M45" s="24" t="str">
        <f>IF(ISBLANK('Список деталей'!Y53),"",('Список деталей'!Y53))</f>
        <v/>
      </c>
      <c r="N45" s="3" t="str">
        <f>IF(ISBLANK('Список деталей'!Z53),"",('Список деталей'!Z53))</f>
        <v/>
      </c>
      <c r="O45" s="3" t="str">
        <f>IF(ISBLANK('Список деталей'!AA53),"",('Список деталей'!AA53))</f>
        <v/>
      </c>
      <c r="P45" s="3" t="str">
        <f>IF(ISBLANK('Список деталей'!AB53),"",('Список деталей'!AB53))</f>
        <v/>
      </c>
      <c r="Q45" s="45">
        <f>VLOOKUP(IF(ISBLANK('Список деталей'!H53)=TRUE,7,'Список деталей'!H53),кромка,2,0)+VLOOKUP(IF(ISBLANK('Список деталей'!I53)=TRUE,7,'Список деталей'!I53),кромка,2,0)+'Список деталей'!C53</f>
        <v>0</v>
      </c>
      <c r="R45" s="45">
        <f>VLOOKUP(IF(ISBLANK('Список деталей'!F53)=TRUE,7,'Список деталей'!F53),кромка,2,0)+VLOOKUP(IF(ISBLANK('Список деталей'!G53)=TRUE,7,'Список деталей'!G53),кромка,2,0)+'Список деталей'!D53</f>
        <v>0</v>
      </c>
      <c r="S45" s="42">
        <f>IF('Список деталей'!H53="",0,1)+IF('Список деталей'!I53="",0,1)+'Список деталей'!C53</f>
        <v>0</v>
      </c>
      <c r="T45" s="42">
        <f>IF('Список деталей'!F53="",0,1)+IF('Список деталей'!G53="",0,1)+'Список деталей'!D53</f>
        <v>0</v>
      </c>
      <c r="U45" s="3" t="str">
        <f>IF(ISBLANK('Список деталей'!K53),"",'Список деталей'!K53)</f>
        <v/>
      </c>
      <c r="V45" s="3" t="str">
        <f>IF(AND('Список деталей'!C53&gt;849,'Список деталей'!D53&gt;849)=TRUE,1*'Список деталей'!E53,"")</f>
        <v/>
      </c>
    </row>
    <row r="46" spans="1:22" x14ac:dyDescent="0.45">
      <c r="A46" s="3">
        <f>IF(ISNUMBER('Список деталей'!A54), 'Список деталей'!A54, "")</f>
        <v>45</v>
      </c>
      <c r="B46" s="30" t="str">
        <f>IF(ISBLANK('Список деталей'!B54),"",'Список деталей'!B54)</f>
        <v/>
      </c>
      <c r="C46" s="3" t="str">
        <f>IF(ISNUMBER('Список деталей'!C54), $W$4,"")</f>
        <v/>
      </c>
      <c r="D46" s="3" t="str">
        <f>IF(ISNUMBER('Список деталей'!C54), 'Список деталей'!$I$4,"")</f>
        <v/>
      </c>
      <c r="E46" s="24" t="str">
        <f>IF(ISNUMBER('Список деталей'!E54), 'Список деталей'!E54, "")</f>
        <v/>
      </c>
      <c r="F46" s="24" t="str">
        <f>IF(ISNUMBER('Список деталей'!C54), 'Список деталей'!C54, "")</f>
        <v/>
      </c>
      <c r="G46" s="24" t="str">
        <f>IF(ISNUMBER('Список деталей'!D54), 'Список деталей'!D54, "")</f>
        <v/>
      </c>
      <c r="H46" s="3" t="str">
        <f t="shared" si="0"/>
        <v xml:space="preserve">    </v>
      </c>
      <c r="I46" s="3" t="str">
        <f>IF(ISBLANK('Список деталей'!F54),"",VLOOKUP('Список деталей'!F54,обозначениКромки,4,0))</f>
        <v/>
      </c>
      <c r="J46" s="25" t="str">
        <f>IF(ISBLANK('Список деталей'!G54),"",VLOOKUP('Список деталей'!G54,обозначениКромки,4,0))</f>
        <v/>
      </c>
      <c r="K46" s="25" t="str">
        <f>IF(ISBLANK('Список деталей'!H54),"",VLOOKUP('Список деталей'!H54,обозначениКромки,4,0))</f>
        <v/>
      </c>
      <c r="L46" s="25" t="str">
        <f>IF(ISBLANK('Список деталей'!I54),"",VLOOKUP('Список деталей'!I54,обозначениКромки,4,0))</f>
        <v/>
      </c>
      <c r="M46" s="24" t="str">
        <f>IF(ISBLANK('Список деталей'!Y54),"",('Список деталей'!Y54))</f>
        <v/>
      </c>
      <c r="N46" s="3" t="str">
        <f>IF(ISBLANK('Список деталей'!Z54),"",('Список деталей'!Z54))</f>
        <v/>
      </c>
      <c r="O46" s="3" t="str">
        <f>IF(ISBLANK('Список деталей'!AA54),"",('Список деталей'!AA54))</f>
        <v/>
      </c>
      <c r="P46" s="3" t="str">
        <f>IF(ISBLANK('Список деталей'!AB54),"",('Список деталей'!AB54))</f>
        <v/>
      </c>
      <c r="Q46" s="45">
        <f>VLOOKUP(IF(ISBLANK('Список деталей'!H54)=TRUE,7,'Список деталей'!H54),кромка,2,0)+VLOOKUP(IF(ISBLANK('Список деталей'!I54)=TRUE,7,'Список деталей'!I54),кромка,2,0)+'Список деталей'!C54</f>
        <v>0</v>
      </c>
      <c r="R46" s="45">
        <f>VLOOKUP(IF(ISBLANK('Список деталей'!F54)=TRUE,7,'Список деталей'!F54),кромка,2,0)+VLOOKUP(IF(ISBLANK('Список деталей'!G54)=TRUE,7,'Список деталей'!G54),кромка,2,0)+'Список деталей'!D54</f>
        <v>0</v>
      </c>
      <c r="S46" s="42">
        <f>IF('Список деталей'!H54="",0,1)+IF('Список деталей'!I54="",0,1)+'Список деталей'!C54</f>
        <v>0</v>
      </c>
      <c r="T46" s="42">
        <f>IF('Список деталей'!F54="",0,1)+IF('Список деталей'!G54="",0,1)+'Список деталей'!D54</f>
        <v>0</v>
      </c>
      <c r="U46" s="3" t="str">
        <f>IF(ISBLANK('Список деталей'!K54),"",'Список деталей'!K54)</f>
        <v/>
      </c>
      <c r="V46" s="3" t="str">
        <f>IF(AND('Список деталей'!C54&gt;849,'Список деталей'!D54&gt;849)=TRUE,1*'Список деталей'!E54,"")</f>
        <v/>
      </c>
    </row>
    <row r="47" spans="1:22" x14ac:dyDescent="0.45">
      <c r="A47" s="3">
        <f>IF(ISNUMBER('Список деталей'!A55), 'Список деталей'!A55, "")</f>
        <v>46</v>
      </c>
      <c r="B47" s="30" t="str">
        <f>IF(ISBLANK('Список деталей'!B55),"",'Список деталей'!B55)</f>
        <v/>
      </c>
      <c r="C47" s="3" t="str">
        <f>IF(ISNUMBER('Список деталей'!C55), $W$4,"")</f>
        <v/>
      </c>
      <c r="D47" s="3" t="str">
        <f>IF(ISNUMBER('Список деталей'!C55), 'Список деталей'!$I$4,"")</f>
        <v/>
      </c>
      <c r="E47" s="24" t="str">
        <f>IF(ISNUMBER('Список деталей'!E55), 'Список деталей'!E55, "")</f>
        <v/>
      </c>
      <c r="F47" s="24" t="str">
        <f>IF(ISNUMBER('Список деталей'!C55), 'Список деталей'!C55, "")</f>
        <v/>
      </c>
      <c r="G47" s="24" t="str">
        <f>IF(ISNUMBER('Список деталей'!D55), 'Список деталей'!D55, "")</f>
        <v/>
      </c>
      <c r="H47" s="3" t="str">
        <f t="shared" si="0"/>
        <v xml:space="preserve">    </v>
      </c>
      <c r="I47" s="3" t="str">
        <f>IF(ISBLANK('Список деталей'!F55),"",VLOOKUP('Список деталей'!F55,обозначениКромки,4,0))</f>
        <v/>
      </c>
      <c r="J47" s="25" t="str">
        <f>IF(ISBLANK('Список деталей'!G55),"",VLOOKUP('Список деталей'!G55,обозначениКромки,4,0))</f>
        <v/>
      </c>
      <c r="K47" s="25" t="str">
        <f>IF(ISBLANK('Список деталей'!H55),"",VLOOKUP('Список деталей'!H55,обозначениКромки,4,0))</f>
        <v/>
      </c>
      <c r="L47" s="25" t="str">
        <f>IF(ISBLANK('Список деталей'!I55),"",VLOOKUP('Список деталей'!I55,обозначениКромки,4,0))</f>
        <v/>
      </c>
      <c r="M47" s="24" t="str">
        <f>IF(ISBLANK('Список деталей'!Y55),"",('Список деталей'!Y55))</f>
        <v/>
      </c>
      <c r="N47" s="3" t="str">
        <f>IF(ISBLANK('Список деталей'!Z55),"",('Список деталей'!Z55))</f>
        <v/>
      </c>
      <c r="O47" s="3" t="str">
        <f>IF(ISBLANK('Список деталей'!AA55),"",('Список деталей'!AA55))</f>
        <v/>
      </c>
      <c r="P47" s="3" t="str">
        <f>IF(ISBLANK('Список деталей'!AB55),"",('Список деталей'!AB55))</f>
        <v/>
      </c>
      <c r="Q47" s="45">
        <f>VLOOKUP(IF(ISBLANK('Список деталей'!H55)=TRUE,7,'Список деталей'!H55),кромка,2,0)+VLOOKUP(IF(ISBLANK('Список деталей'!I55)=TRUE,7,'Список деталей'!I55),кромка,2,0)+'Список деталей'!C55</f>
        <v>0</v>
      </c>
      <c r="R47" s="45">
        <f>VLOOKUP(IF(ISBLANK('Список деталей'!F55)=TRUE,7,'Список деталей'!F55),кромка,2,0)+VLOOKUP(IF(ISBLANK('Список деталей'!G55)=TRUE,7,'Список деталей'!G55),кромка,2,0)+'Список деталей'!D55</f>
        <v>0</v>
      </c>
      <c r="S47" s="42">
        <f>IF('Список деталей'!H55="",0,1)+IF('Список деталей'!I55="",0,1)+'Список деталей'!C55</f>
        <v>0</v>
      </c>
      <c r="T47" s="42">
        <f>IF('Список деталей'!F55="",0,1)+IF('Список деталей'!G55="",0,1)+'Список деталей'!D55</f>
        <v>0</v>
      </c>
      <c r="U47" s="3" t="str">
        <f>IF(ISBLANK('Список деталей'!K55),"",'Список деталей'!K55)</f>
        <v/>
      </c>
      <c r="V47" s="3" t="str">
        <f>IF(AND('Список деталей'!C55&gt;849,'Список деталей'!D55&gt;849)=TRUE,1*'Список деталей'!E55,"")</f>
        <v/>
      </c>
    </row>
    <row r="48" spans="1:22" x14ac:dyDescent="0.45">
      <c r="A48" s="3">
        <f>IF(ISNUMBER('Список деталей'!A56), 'Список деталей'!A56, "")</f>
        <v>47</v>
      </c>
      <c r="B48" s="30" t="str">
        <f>IF(ISBLANK('Список деталей'!B56),"",'Список деталей'!B56)</f>
        <v/>
      </c>
      <c r="C48" s="3" t="str">
        <f>IF(ISNUMBER('Список деталей'!C56), $W$4,"")</f>
        <v/>
      </c>
      <c r="D48" s="3" t="str">
        <f>IF(ISNUMBER('Список деталей'!C56), 'Список деталей'!$I$4,"")</f>
        <v/>
      </c>
      <c r="E48" s="24" t="str">
        <f>IF(ISNUMBER('Список деталей'!E56), 'Список деталей'!E56, "")</f>
        <v/>
      </c>
      <c r="F48" s="24" t="str">
        <f>IF(ISNUMBER('Список деталей'!C56), 'Список деталей'!C56, "")</f>
        <v/>
      </c>
      <c r="G48" s="24" t="str">
        <f>IF(ISNUMBER('Список деталей'!D56), 'Список деталей'!D56, "")</f>
        <v/>
      </c>
      <c r="H48" s="3" t="str">
        <f t="shared" si="0"/>
        <v xml:space="preserve">    </v>
      </c>
      <c r="I48" s="3" t="str">
        <f>IF(ISBLANK('Список деталей'!F56),"",VLOOKUP('Список деталей'!F56,обозначениКромки,4,0))</f>
        <v/>
      </c>
      <c r="J48" s="25" t="str">
        <f>IF(ISBLANK('Список деталей'!G56),"",VLOOKUP('Список деталей'!G56,обозначениКромки,4,0))</f>
        <v/>
      </c>
      <c r="K48" s="25" t="str">
        <f>IF(ISBLANK('Список деталей'!H56),"",VLOOKUP('Список деталей'!H56,обозначениКромки,4,0))</f>
        <v/>
      </c>
      <c r="L48" s="25" t="str">
        <f>IF(ISBLANK('Список деталей'!I56),"",VLOOKUP('Список деталей'!I56,обозначениКромки,4,0))</f>
        <v/>
      </c>
      <c r="M48" s="24" t="str">
        <f>IF(ISBLANK('Список деталей'!Y56),"",('Список деталей'!Y56))</f>
        <v/>
      </c>
      <c r="N48" s="3" t="str">
        <f>IF(ISBLANK('Список деталей'!Z56),"",('Список деталей'!Z56))</f>
        <v/>
      </c>
      <c r="O48" s="3" t="str">
        <f>IF(ISBLANK('Список деталей'!AA56),"",('Список деталей'!AA56))</f>
        <v/>
      </c>
      <c r="P48" s="3" t="str">
        <f>IF(ISBLANK('Список деталей'!AB56),"",('Список деталей'!AB56))</f>
        <v/>
      </c>
      <c r="Q48" s="45">
        <f>VLOOKUP(IF(ISBLANK('Список деталей'!H56)=TRUE,7,'Список деталей'!H56),кромка,2,0)+VLOOKUP(IF(ISBLANK('Список деталей'!I56)=TRUE,7,'Список деталей'!I56),кромка,2,0)+'Список деталей'!C56</f>
        <v>0</v>
      </c>
      <c r="R48" s="45">
        <f>VLOOKUP(IF(ISBLANK('Список деталей'!F56)=TRUE,7,'Список деталей'!F56),кромка,2,0)+VLOOKUP(IF(ISBLANK('Список деталей'!G56)=TRUE,7,'Список деталей'!G56),кромка,2,0)+'Список деталей'!D56</f>
        <v>0</v>
      </c>
      <c r="S48" s="42">
        <f>IF('Список деталей'!H56="",0,1)+IF('Список деталей'!I56="",0,1)+'Список деталей'!C56</f>
        <v>0</v>
      </c>
      <c r="T48" s="42">
        <f>IF('Список деталей'!F56="",0,1)+IF('Список деталей'!G56="",0,1)+'Список деталей'!D56</f>
        <v>0</v>
      </c>
      <c r="U48" s="3" t="str">
        <f>IF(ISBLANK('Список деталей'!K56),"",'Список деталей'!K56)</f>
        <v/>
      </c>
      <c r="V48" s="3" t="str">
        <f>IF(AND('Список деталей'!C56&gt;849,'Список деталей'!D56&gt;849)=TRUE,1*'Список деталей'!E56,"")</f>
        <v/>
      </c>
    </row>
    <row r="49" spans="1:22" x14ac:dyDescent="0.45">
      <c r="A49" s="3">
        <f>IF(ISNUMBER('Список деталей'!A57), 'Список деталей'!A57, "")</f>
        <v>48</v>
      </c>
      <c r="B49" s="30" t="str">
        <f>IF(ISBLANK('Список деталей'!B57),"",'Список деталей'!B57)</f>
        <v/>
      </c>
      <c r="C49" s="3" t="str">
        <f>IF(ISNUMBER('Список деталей'!C57), $W$4,"")</f>
        <v/>
      </c>
      <c r="D49" s="3" t="str">
        <f>IF(ISNUMBER('Список деталей'!C57), 'Список деталей'!$I$4,"")</f>
        <v/>
      </c>
      <c r="E49" s="24" t="str">
        <f>IF(ISNUMBER('Список деталей'!E57), 'Список деталей'!E57, "")</f>
        <v/>
      </c>
      <c r="F49" s="24" t="str">
        <f>IF(ISNUMBER('Список деталей'!C57), 'Список деталей'!C57, "")</f>
        <v/>
      </c>
      <c r="G49" s="24" t="str">
        <f>IF(ISNUMBER('Список деталей'!D57), 'Список деталей'!D57, "")</f>
        <v/>
      </c>
      <c r="H49" s="3" t="str">
        <f t="shared" si="0"/>
        <v xml:space="preserve">    </v>
      </c>
      <c r="I49" s="3" t="str">
        <f>IF(ISBLANK('Список деталей'!F57),"",VLOOKUP('Список деталей'!F57,обозначениКромки,4,0))</f>
        <v/>
      </c>
      <c r="J49" s="25" t="str">
        <f>IF(ISBLANK('Список деталей'!G57),"",VLOOKUP('Список деталей'!G57,обозначениКромки,4,0))</f>
        <v/>
      </c>
      <c r="K49" s="25" t="str">
        <f>IF(ISBLANK('Список деталей'!H57),"",VLOOKUP('Список деталей'!H57,обозначениКромки,4,0))</f>
        <v/>
      </c>
      <c r="L49" s="25" t="str">
        <f>IF(ISBLANK('Список деталей'!I57),"",VLOOKUP('Список деталей'!I57,обозначениКромки,4,0))</f>
        <v/>
      </c>
      <c r="M49" s="24" t="str">
        <f>IF(ISBLANK('Список деталей'!Y57),"",('Список деталей'!Y57))</f>
        <v/>
      </c>
      <c r="N49" s="3" t="str">
        <f>IF(ISBLANK('Список деталей'!Z57),"",('Список деталей'!Z57))</f>
        <v/>
      </c>
      <c r="O49" s="3" t="str">
        <f>IF(ISBLANK('Список деталей'!AA57),"",('Список деталей'!AA57))</f>
        <v/>
      </c>
      <c r="P49" s="3" t="str">
        <f>IF(ISBLANK('Список деталей'!AB57),"",('Список деталей'!AB57))</f>
        <v/>
      </c>
      <c r="Q49" s="45">
        <f>VLOOKUP(IF(ISBLANK('Список деталей'!H57)=TRUE,7,'Список деталей'!H57),кромка,2,0)+VLOOKUP(IF(ISBLANK('Список деталей'!I57)=TRUE,7,'Список деталей'!I57),кромка,2,0)+'Список деталей'!C57</f>
        <v>0</v>
      </c>
      <c r="R49" s="45">
        <f>VLOOKUP(IF(ISBLANK('Список деталей'!F57)=TRUE,7,'Список деталей'!F57),кромка,2,0)+VLOOKUP(IF(ISBLANK('Список деталей'!G57)=TRUE,7,'Список деталей'!G57),кромка,2,0)+'Список деталей'!D57</f>
        <v>0</v>
      </c>
      <c r="S49" s="42">
        <f>IF('Список деталей'!H57="",0,1)+IF('Список деталей'!I57="",0,1)+'Список деталей'!C57</f>
        <v>0</v>
      </c>
      <c r="T49" s="42">
        <f>IF('Список деталей'!F57="",0,1)+IF('Список деталей'!G57="",0,1)+'Список деталей'!D57</f>
        <v>0</v>
      </c>
      <c r="U49" s="3" t="str">
        <f>IF(ISBLANK('Список деталей'!K57),"",'Список деталей'!K57)</f>
        <v/>
      </c>
      <c r="V49" s="3" t="str">
        <f>IF(AND('Список деталей'!C57&gt;849,'Список деталей'!D57&gt;849)=TRUE,1*'Список деталей'!E57,"")</f>
        <v/>
      </c>
    </row>
    <row r="50" spans="1:22" x14ac:dyDescent="0.45">
      <c r="A50" s="3">
        <f>IF(ISNUMBER('Список деталей'!A58), 'Список деталей'!A58, "")</f>
        <v>49</v>
      </c>
      <c r="B50" s="30" t="str">
        <f>IF(ISBLANK('Список деталей'!B58),"",'Список деталей'!B58)</f>
        <v/>
      </c>
      <c r="C50" s="3" t="str">
        <f>IF(ISNUMBER('Список деталей'!C58), $W$4,"")</f>
        <v/>
      </c>
      <c r="D50" s="3" t="str">
        <f>IF(ISNUMBER('Список деталей'!C58), 'Список деталей'!$I$4,"")</f>
        <v/>
      </c>
      <c r="E50" s="24" t="str">
        <f>IF(ISNUMBER('Список деталей'!E58), 'Список деталей'!E58, "")</f>
        <v/>
      </c>
      <c r="F50" s="24" t="str">
        <f>IF(ISNUMBER('Список деталей'!C58), 'Список деталей'!C58, "")</f>
        <v/>
      </c>
      <c r="G50" s="24" t="str">
        <f>IF(ISNUMBER('Список деталей'!D58), 'Список деталей'!D58, "")</f>
        <v/>
      </c>
      <c r="H50" s="3" t="str">
        <f t="shared" si="0"/>
        <v xml:space="preserve">    </v>
      </c>
      <c r="I50" s="3" t="str">
        <f>IF(ISBLANK('Список деталей'!F58),"",VLOOKUP('Список деталей'!F58,обозначениКромки,4,0))</f>
        <v/>
      </c>
      <c r="J50" s="25" t="str">
        <f>IF(ISBLANK('Список деталей'!G58),"",VLOOKUP('Список деталей'!G58,обозначениКромки,4,0))</f>
        <v/>
      </c>
      <c r="K50" s="25" t="str">
        <f>IF(ISBLANK('Список деталей'!H58),"",VLOOKUP('Список деталей'!H58,обозначениКромки,4,0))</f>
        <v/>
      </c>
      <c r="L50" s="25" t="str">
        <f>IF(ISBLANK('Список деталей'!I58),"",VLOOKUP('Список деталей'!I58,обозначениКромки,4,0))</f>
        <v/>
      </c>
      <c r="M50" s="24" t="str">
        <f>IF(ISBLANK('Список деталей'!Y58),"",('Список деталей'!Y58))</f>
        <v/>
      </c>
      <c r="N50" s="3" t="str">
        <f>IF(ISBLANK('Список деталей'!Z58),"",('Список деталей'!Z58))</f>
        <v/>
      </c>
      <c r="O50" s="3" t="str">
        <f>IF(ISBLANK('Список деталей'!AA58),"",('Список деталей'!AA58))</f>
        <v/>
      </c>
      <c r="P50" s="3" t="str">
        <f>IF(ISBLANK('Список деталей'!AB58),"",('Список деталей'!AB58))</f>
        <v/>
      </c>
      <c r="Q50" s="45">
        <f>VLOOKUP(IF(ISBLANK('Список деталей'!H58)=TRUE,7,'Список деталей'!H58),кромка,2,0)+VLOOKUP(IF(ISBLANK('Список деталей'!I58)=TRUE,7,'Список деталей'!I58),кромка,2,0)+'Список деталей'!C58</f>
        <v>0</v>
      </c>
      <c r="R50" s="45">
        <f>VLOOKUP(IF(ISBLANK('Список деталей'!F58)=TRUE,7,'Список деталей'!F58),кромка,2,0)+VLOOKUP(IF(ISBLANK('Список деталей'!G58)=TRUE,7,'Список деталей'!G58),кромка,2,0)+'Список деталей'!D58</f>
        <v>0</v>
      </c>
      <c r="S50" s="42">
        <f>IF('Список деталей'!H58="",0,1)+IF('Список деталей'!I58="",0,1)+'Список деталей'!C58</f>
        <v>0</v>
      </c>
      <c r="T50" s="42">
        <f>IF('Список деталей'!F58="",0,1)+IF('Список деталей'!G58="",0,1)+'Список деталей'!D58</f>
        <v>0</v>
      </c>
      <c r="U50" s="3" t="str">
        <f>IF(ISBLANK('Список деталей'!K58),"",'Список деталей'!K58)</f>
        <v/>
      </c>
      <c r="V50" s="3" t="str">
        <f>IF(AND('Список деталей'!C58&gt;849,'Список деталей'!D58&gt;849)=TRUE,1*'Список деталей'!E58,"")</f>
        <v/>
      </c>
    </row>
    <row r="51" spans="1:22" x14ac:dyDescent="0.45">
      <c r="A51" s="3">
        <f>IF(ISNUMBER('Список деталей'!A59), 'Список деталей'!A59, "")</f>
        <v>50</v>
      </c>
      <c r="B51" s="30" t="str">
        <f>IF(ISBLANK('Список деталей'!B59),"",'Список деталей'!B59)</f>
        <v/>
      </c>
      <c r="C51" s="3" t="str">
        <f>IF(ISNUMBER('Список деталей'!C59), $W$4,"")</f>
        <v/>
      </c>
      <c r="D51" s="3" t="str">
        <f>IF(ISNUMBER('Список деталей'!C59), 'Список деталей'!$I$4,"")</f>
        <v/>
      </c>
      <c r="E51" s="24" t="str">
        <f>IF(ISNUMBER('Список деталей'!E59), 'Список деталей'!E59, "")</f>
        <v/>
      </c>
      <c r="F51" s="24" t="str">
        <f>IF(ISNUMBER('Список деталей'!C59), 'Список деталей'!C59, "")</f>
        <v/>
      </c>
      <c r="G51" s="24" t="str">
        <f>IF(ISNUMBER('Список деталей'!D59), 'Список деталей'!D59, "")</f>
        <v/>
      </c>
      <c r="H51" s="3" t="str">
        <f t="shared" si="0"/>
        <v xml:space="preserve">    </v>
      </c>
      <c r="I51" s="3" t="str">
        <f>IF(ISBLANK('Список деталей'!F59),"",VLOOKUP('Список деталей'!F59,обозначениКромки,4,0))</f>
        <v/>
      </c>
      <c r="J51" s="25" t="str">
        <f>IF(ISBLANK('Список деталей'!G59),"",VLOOKUP('Список деталей'!G59,обозначениКромки,4,0))</f>
        <v/>
      </c>
      <c r="K51" s="25" t="str">
        <f>IF(ISBLANK('Список деталей'!H59),"",VLOOKUP('Список деталей'!H59,обозначениКромки,4,0))</f>
        <v/>
      </c>
      <c r="L51" s="25" t="str">
        <f>IF(ISBLANK('Список деталей'!I59),"",VLOOKUP('Список деталей'!I59,обозначениКромки,4,0))</f>
        <v/>
      </c>
      <c r="M51" s="24" t="str">
        <f>IF(ISBLANK('Список деталей'!Y59),"",('Список деталей'!Y59))</f>
        <v/>
      </c>
      <c r="N51" s="3" t="str">
        <f>IF(ISBLANK('Список деталей'!Z59),"",('Список деталей'!Z59))</f>
        <v/>
      </c>
      <c r="O51" s="3" t="str">
        <f>IF(ISBLANK('Список деталей'!AA59),"",('Список деталей'!AA59))</f>
        <v/>
      </c>
      <c r="P51" s="3" t="str">
        <f>IF(ISBLANK('Список деталей'!AB59),"",('Список деталей'!AB59))</f>
        <v/>
      </c>
      <c r="Q51" s="45">
        <f>VLOOKUP(IF(ISBLANK('Список деталей'!H59)=TRUE,7,'Список деталей'!H59),кромка,2,0)+VLOOKUP(IF(ISBLANK('Список деталей'!I59)=TRUE,7,'Список деталей'!I59),кромка,2,0)+'Список деталей'!C59</f>
        <v>0</v>
      </c>
      <c r="R51" s="45">
        <f>VLOOKUP(IF(ISBLANK('Список деталей'!F59)=TRUE,7,'Список деталей'!F59),кромка,2,0)+VLOOKUP(IF(ISBLANK('Список деталей'!G59)=TRUE,7,'Список деталей'!G59),кромка,2,0)+'Список деталей'!D59</f>
        <v>0</v>
      </c>
      <c r="S51" s="42">
        <f>IF('Список деталей'!H59="",0,1)+IF('Список деталей'!I59="",0,1)+'Список деталей'!C59</f>
        <v>0</v>
      </c>
      <c r="T51" s="42">
        <f>IF('Список деталей'!F59="",0,1)+IF('Список деталей'!G59="",0,1)+'Список деталей'!D59</f>
        <v>0</v>
      </c>
      <c r="U51" s="3" t="str">
        <f>IF(ISBLANK('Список деталей'!K59),"",'Список деталей'!K59)</f>
        <v/>
      </c>
      <c r="V51" s="3" t="str">
        <f>IF(AND('Список деталей'!C59&gt;849,'Список деталей'!D59&gt;849)=TRUE,1*'Список деталей'!E59,"")</f>
        <v/>
      </c>
    </row>
    <row r="52" spans="1:22" x14ac:dyDescent="0.45">
      <c r="A52" s="3">
        <f>IF(ISNUMBER('Список деталей'!A60), 'Список деталей'!A60, "")</f>
        <v>51</v>
      </c>
      <c r="B52" s="30" t="str">
        <f>IF(ISBLANK('Список деталей'!B60),"",'Список деталей'!B60)</f>
        <v/>
      </c>
      <c r="C52" s="3" t="str">
        <f>IF(ISNUMBER('Список деталей'!C60), $W$4,"")</f>
        <v/>
      </c>
      <c r="D52" s="3" t="str">
        <f>IF(ISNUMBER('Список деталей'!C60), 'Список деталей'!$I$4,"")</f>
        <v/>
      </c>
      <c r="E52" s="24" t="str">
        <f>IF(ISNUMBER('Список деталей'!E60), 'Список деталей'!E60, "")</f>
        <v/>
      </c>
      <c r="F52" s="24" t="str">
        <f>IF(ISNUMBER('Список деталей'!C60), 'Список деталей'!C60, "")</f>
        <v/>
      </c>
      <c r="G52" s="24" t="str">
        <f>IF(ISNUMBER('Список деталей'!D60), 'Список деталей'!D60, "")</f>
        <v/>
      </c>
      <c r="H52" s="3" t="str">
        <f t="shared" si="0"/>
        <v xml:space="preserve">    </v>
      </c>
      <c r="I52" s="3" t="str">
        <f>IF(ISBLANK('Список деталей'!F60),"",VLOOKUP('Список деталей'!F60,обозначениКромки,4,0))</f>
        <v/>
      </c>
      <c r="J52" s="25" t="str">
        <f>IF(ISBLANK('Список деталей'!G60),"",VLOOKUP('Список деталей'!G60,обозначениКромки,4,0))</f>
        <v/>
      </c>
      <c r="K52" s="25" t="str">
        <f>IF(ISBLANK('Список деталей'!H60),"",VLOOKUP('Список деталей'!H60,обозначениКромки,4,0))</f>
        <v/>
      </c>
      <c r="L52" s="25" t="str">
        <f>IF(ISBLANK('Список деталей'!I60),"",VLOOKUP('Список деталей'!I60,обозначениКромки,4,0))</f>
        <v/>
      </c>
      <c r="M52" s="24" t="str">
        <f>IF(ISBLANK('Список деталей'!Y60),"",('Список деталей'!Y60))</f>
        <v/>
      </c>
      <c r="N52" s="3" t="str">
        <f>IF(ISBLANK('Список деталей'!Z60),"",('Список деталей'!Z60))</f>
        <v/>
      </c>
      <c r="O52" s="3" t="str">
        <f>IF(ISBLANK('Список деталей'!AA60),"",('Список деталей'!AA60))</f>
        <v/>
      </c>
      <c r="P52" s="3" t="str">
        <f>IF(ISBLANK('Список деталей'!AB60),"",('Список деталей'!AB60))</f>
        <v/>
      </c>
      <c r="Q52" s="45">
        <f>VLOOKUP(IF(ISBLANK('Список деталей'!H60)=TRUE,7,'Список деталей'!H60),кромка,2,0)+VLOOKUP(IF(ISBLANK('Список деталей'!I60)=TRUE,7,'Список деталей'!I60),кромка,2,0)+'Список деталей'!C60</f>
        <v>0</v>
      </c>
      <c r="R52" s="45">
        <f>VLOOKUP(IF(ISBLANK('Список деталей'!F60)=TRUE,7,'Список деталей'!F60),кромка,2,0)+VLOOKUP(IF(ISBLANK('Список деталей'!G60)=TRUE,7,'Список деталей'!G60),кромка,2,0)+'Список деталей'!D60</f>
        <v>0</v>
      </c>
      <c r="S52" s="42">
        <f>IF('Список деталей'!H60="",0,1)+IF('Список деталей'!I60="",0,1)+'Список деталей'!C60</f>
        <v>0</v>
      </c>
      <c r="T52" s="42">
        <f>IF('Список деталей'!F60="",0,1)+IF('Список деталей'!G60="",0,1)+'Список деталей'!D60</f>
        <v>0</v>
      </c>
      <c r="U52" s="3" t="str">
        <f>IF(ISBLANK('Список деталей'!K60),"",'Список деталей'!K60)</f>
        <v/>
      </c>
      <c r="V52" s="3" t="str">
        <f>IF(AND('Список деталей'!C60&gt;849,'Список деталей'!D60&gt;849)=TRUE,1*'Список деталей'!E60,"")</f>
        <v/>
      </c>
    </row>
    <row r="53" spans="1:22" x14ac:dyDescent="0.45">
      <c r="A53" s="3">
        <f>IF(ISNUMBER('Список деталей'!A61), 'Список деталей'!A61, "")</f>
        <v>52</v>
      </c>
      <c r="B53" s="30" t="str">
        <f>IF(ISBLANK('Список деталей'!B61),"",'Список деталей'!B61)</f>
        <v/>
      </c>
      <c r="C53" s="3" t="str">
        <f>IF(ISNUMBER('Список деталей'!C61), $W$4,"")</f>
        <v/>
      </c>
      <c r="D53" s="3" t="str">
        <f>IF(ISNUMBER('Список деталей'!C61), 'Список деталей'!$I$4,"")</f>
        <v/>
      </c>
      <c r="E53" s="24" t="str">
        <f>IF(ISNUMBER('Список деталей'!E61), 'Список деталей'!E61, "")</f>
        <v/>
      </c>
      <c r="F53" s="24" t="str">
        <f>IF(ISNUMBER('Список деталей'!C61), 'Список деталей'!C61, "")</f>
        <v/>
      </c>
      <c r="G53" s="24" t="str">
        <f>IF(ISNUMBER('Список деталей'!D61), 'Список деталей'!D61, "")</f>
        <v/>
      </c>
      <c r="H53" s="3" t="str">
        <f t="shared" si="0"/>
        <v xml:space="preserve">    </v>
      </c>
      <c r="I53" s="3" t="str">
        <f>IF(ISBLANK('Список деталей'!F61),"",VLOOKUP('Список деталей'!F61,обозначениКромки,4,0))</f>
        <v/>
      </c>
      <c r="J53" s="25" t="str">
        <f>IF(ISBLANK('Список деталей'!G61),"",VLOOKUP('Список деталей'!G61,обозначениКромки,4,0))</f>
        <v/>
      </c>
      <c r="K53" s="25" t="str">
        <f>IF(ISBLANK('Список деталей'!H61),"",VLOOKUP('Список деталей'!H61,обозначениКромки,4,0))</f>
        <v/>
      </c>
      <c r="L53" s="25" t="str">
        <f>IF(ISBLANK('Список деталей'!I61),"",VLOOKUP('Список деталей'!I61,обозначениКромки,4,0))</f>
        <v/>
      </c>
      <c r="M53" s="24" t="str">
        <f>IF(ISBLANK('Список деталей'!Y61),"",('Список деталей'!Y61))</f>
        <v/>
      </c>
      <c r="N53" s="3" t="str">
        <f>IF(ISBLANK('Список деталей'!Z61),"",('Список деталей'!Z61))</f>
        <v/>
      </c>
      <c r="O53" s="3" t="str">
        <f>IF(ISBLANK('Список деталей'!AA61),"",('Список деталей'!AA61))</f>
        <v/>
      </c>
      <c r="P53" s="3" t="str">
        <f>IF(ISBLANK('Список деталей'!AB61),"",('Список деталей'!AB61))</f>
        <v/>
      </c>
      <c r="Q53" s="45">
        <f>VLOOKUP(IF(ISBLANK('Список деталей'!H61)=TRUE,7,'Список деталей'!H61),кромка,2,0)+VLOOKUP(IF(ISBLANK('Список деталей'!I61)=TRUE,7,'Список деталей'!I61),кромка,2,0)+'Список деталей'!C61</f>
        <v>0</v>
      </c>
      <c r="R53" s="45">
        <f>VLOOKUP(IF(ISBLANK('Список деталей'!F61)=TRUE,7,'Список деталей'!F61),кромка,2,0)+VLOOKUP(IF(ISBLANK('Список деталей'!G61)=TRUE,7,'Список деталей'!G61),кромка,2,0)+'Список деталей'!D61</f>
        <v>0</v>
      </c>
      <c r="S53" s="42">
        <f>IF('Список деталей'!H61="",0,1)+IF('Список деталей'!I61="",0,1)+'Список деталей'!C61</f>
        <v>0</v>
      </c>
      <c r="T53" s="42">
        <f>IF('Список деталей'!F61="",0,1)+IF('Список деталей'!G61="",0,1)+'Список деталей'!D61</f>
        <v>0</v>
      </c>
      <c r="U53" s="3" t="str">
        <f>IF(ISBLANK('Список деталей'!K61),"",'Список деталей'!K61)</f>
        <v/>
      </c>
      <c r="V53" s="3" t="str">
        <f>IF(AND('Список деталей'!C61&gt;849,'Список деталей'!D61&gt;849)=TRUE,1*'Список деталей'!E61,"")</f>
        <v/>
      </c>
    </row>
    <row r="54" spans="1:22" x14ac:dyDescent="0.45">
      <c r="A54" s="3">
        <f>IF(ISNUMBER('Список деталей'!A62), 'Список деталей'!A62, "")</f>
        <v>53</v>
      </c>
      <c r="B54" s="30" t="str">
        <f>IF(ISBLANK('Список деталей'!B62),"",'Список деталей'!B62)</f>
        <v/>
      </c>
      <c r="C54" s="3" t="str">
        <f>IF(ISNUMBER('Список деталей'!C62), $W$4,"")</f>
        <v/>
      </c>
      <c r="D54" s="3" t="str">
        <f>IF(ISNUMBER('Список деталей'!C62), 'Список деталей'!$I$4,"")</f>
        <v/>
      </c>
      <c r="E54" s="24" t="str">
        <f>IF(ISNUMBER('Список деталей'!E62), 'Список деталей'!E62, "")</f>
        <v/>
      </c>
      <c r="F54" s="24" t="str">
        <f>IF(ISNUMBER('Список деталей'!C62), 'Список деталей'!C62, "")</f>
        <v/>
      </c>
      <c r="G54" s="24" t="str">
        <f>IF(ISNUMBER('Список деталей'!D62), 'Список деталей'!D62, "")</f>
        <v/>
      </c>
      <c r="H54" s="3" t="str">
        <f t="shared" si="0"/>
        <v xml:space="preserve">    </v>
      </c>
      <c r="I54" s="3" t="str">
        <f>IF(ISBLANK('Список деталей'!F62),"",VLOOKUP('Список деталей'!F62,обозначениКромки,4,0))</f>
        <v/>
      </c>
      <c r="J54" s="25" t="str">
        <f>IF(ISBLANK('Список деталей'!G62),"",VLOOKUP('Список деталей'!G62,обозначениКромки,4,0))</f>
        <v/>
      </c>
      <c r="K54" s="25" t="str">
        <f>IF(ISBLANK('Список деталей'!H62),"",VLOOKUP('Список деталей'!H62,обозначениКромки,4,0))</f>
        <v/>
      </c>
      <c r="L54" s="25" t="str">
        <f>IF(ISBLANK('Список деталей'!I62),"",VLOOKUP('Список деталей'!I62,обозначениКромки,4,0))</f>
        <v/>
      </c>
      <c r="M54" s="24" t="str">
        <f>IF(ISBLANK('Список деталей'!Y62),"",('Список деталей'!Y62))</f>
        <v/>
      </c>
      <c r="N54" s="3" t="str">
        <f>IF(ISBLANK('Список деталей'!Z62),"",('Список деталей'!Z62))</f>
        <v/>
      </c>
      <c r="O54" s="3" t="str">
        <f>IF(ISBLANK('Список деталей'!AA62),"",('Список деталей'!AA62))</f>
        <v/>
      </c>
      <c r="P54" s="3" t="str">
        <f>IF(ISBLANK('Список деталей'!AB62),"",('Список деталей'!AB62))</f>
        <v/>
      </c>
      <c r="Q54" s="45">
        <f>VLOOKUP(IF(ISBLANK('Список деталей'!H62)=TRUE,7,'Список деталей'!H62),кромка,2,0)+VLOOKUP(IF(ISBLANK('Список деталей'!I62)=TRUE,7,'Список деталей'!I62),кромка,2,0)+'Список деталей'!C62</f>
        <v>0</v>
      </c>
      <c r="R54" s="45">
        <f>VLOOKUP(IF(ISBLANK('Список деталей'!F62)=TRUE,7,'Список деталей'!F62),кромка,2,0)+VLOOKUP(IF(ISBLANK('Список деталей'!G62)=TRUE,7,'Список деталей'!G62),кромка,2,0)+'Список деталей'!D62</f>
        <v>0</v>
      </c>
      <c r="S54" s="42">
        <f>IF('Список деталей'!H62="",0,1)+IF('Список деталей'!I62="",0,1)+'Список деталей'!C62</f>
        <v>0</v>
      </c>
      <c r="T54" s="42">
        <f>IF('Список деталей'!F62="",0,1)+IF('Список деталей'!G62="",0,1)+'Список деталей'!D62</f>
        <v>0</v>
      </c>
      <c r="U54" s="3" t="str">
        <f>IF(ISBLANK('Список деталей'!K62),"",'Список деталей'!K62)</f>
        <v/>
      </c>
      <c r="V54" s="3" t="str">
        <f>IF(AND('Список деталей'!C62&gt;849,'Список деталей'!D62&gt;849)=TRUE,1*'Список деталей'!E62,"")</f>
        <v/>
      </c>
    </row>
    <row r="55" spans="1:22" x14ac:dyDescent="0.45">
      <c r="A55" s="3">
        <f>IF(ISNUMBER('Список деталей'!A63), 'Список деталей'!A63, "")</f>
        <v>54</v>
      </c>
      <c r="B55" s="30" t="str">
        <f>IF(ISBLANK('Список деталей'!B63),"",'Список деталей'!B63)</f>
        <v/>
      </c>
      <c r="C55" s="3" t="str">
        <f>IF(ISNUMBER('Список деталей'!C63), $W$4,"")</f>
        <v/>
      </c>
      <c r="D55" s="3" t="str">
        <f>IF(ISNUMBER('Список деталей'!C63), 'Список деталей'!$I$4,"")</f>
        <v/>
      </c>
      <c r="E55" s="24" t="str">
        <f>IF(ISNUMBER('Список деталей'!E63), 'Список деталей'!E63, "")</f>
        <v/>
      </c>
      <c r="F55" s="24" t="str">
        <f>IF(ISNUMBER('Список деталей'!C63), 'Список деталей'!C63, "")</f>
        <v/>
      </c>
      <c r="G55" s="24" t="str">
        <f>IF(ISNUMBER('Список деталей'!D63), 'Список деталей'!D63, "")</f>
        <v/>
      </c>
      <c r="H55" s="3" t="str">
        <f t="shared" si="0"/>
        <v xml:space="preserve">    </v>
      </c>
      <c r="I55" s="3" t="str">
        <f>IF(ISBLANK('Список деталей'!F63),"",VLOOKUP('Список деталей'!F63,обозначениКромки,4,0))</f>
        <v/>
      </c>
      <c r="J55" s="25" t="str">
        <f>IF(ISBLANK('Список деталей'!G63),"",VLOOKUP('Список деталей'!G63,обозначениКромки,4,0))</f>
        <v/>
      </c>
      <c r="K55" s="25" t="str">
        <f>IF(ISBLANK('Список деталей'!H63),"",VLOOKUP('Список деталей'!H63,обозначениКромки,4,0))</f>
        <v/>
      </c>
      <c r="L55" s="25" t="str">
        <f>IF(ISBLANK('Список деталей'!I63),"",VLOOKUP('Список деталей'!I63,обозначениКромки,4,0))</f>
        <v/>
      </c>
      <c r="M55" s="24" t="str">
        <f>IF(ISBLANK('Список деталей'!Y63),"",('Список деталей'!Y63))</f>
        <v/>
      </c>
      <c r="N55" s="3" t="str">
        <f>IF(ISBLANK('Список деталей'!Z63),"",('Список деталей'!Z63))</f>
        <v/>
      </c>
      <c r="O55" s="3" t="str">
        <f>IF(ISBLANK('Список деталей'!AA63),"",('Список деталей'!AA63))</f>
        <v/>
      </c>
      <c r="P55" s="3" t="str">
        <f>IF(ISBLANK('Список деталей'!AB63),"",('Список деталей'!AB63))</f>
        <v/>
      </c>
      <c r="Q55" s="45">
        <f>VLOOKUP(IF(ISBLANK('Список деталей'!H63)=TRUE,7,'Список деталей'!H63),кромка,2,0)+VLOOKUP(IF(ISBLANK('Список деталей'!I63)=TRUE,7,'Список деталей'!I63),кромка,2,0)+'Список деталей'!C63</f>
        <v>0</v>
      </c>
      <c r="R55" s="45">
        <f>VLOOKUP(IF(ISBLANK('Список деталей'!F63)=TRUE,7,'Список деталей'!F63),кромка,2,0)+VLOOKUP(IF(ISBLANK('Список деталей'!G63)=TRUE,7,'Список деталей'!G63),кромка,2,0)+'Список деталей'!D63</f>
        <v>0</v>
      </c>
      <c r="S55" s="42">
        <f>IF('Список деталей'!H63="",0,1)+IF('Список деталей'!I63="",0,1)+'Список деталей'!C63</f>
        <v>0</v>
      </c>
      <c r="T55" s="42">
        <f>IF('Список деталей'!F63="",0,1)+IF('Список деталей'!G63="",0,1)+'Список деталей'!D63</f>
        <v>0</v>
      </c>
      <c r="U55" s="3" t="str">
        <f>IF(ISBLANK('Список деталей'!K63),"",'Список деталей'!K63)</f>
        <v/>
      </c>
      <c r="V55" s="3" t="str">
        <f>IF(AND('Список деталей'!C63&gt;849,'Список деталей'!D63&gt;849)=TRUE,1*'Список деталей'!E63,"")</f>
        <v/>
      </c>
    </row>
    <row r="56" spans="1:22" x14ac:dyDescent="0.45">
      <c r="A56" s="3">
        <f>IF(ISNUMBER('Список деталей'!A64), 'Список деталей'!A64, "")</f>
        <v>55</v>
      </c>
      <c r="B56" s="30" t="str">
        <f>IF(ISBLANK('Список деталей'!B64),"",'Список деталей'!B64)</f>
        <v/>
      </c>
      <c r="C56" s="3" t="str">
        <f>IF(ISNUMBER('Список деталей'!C64), $W$4,"")</f>
        <v/>
      </c>
      <c r="D56" s="3" t="str">
        <f>IF(ISNUMBER('Список деталей'!C64), 'Список деталей'!$I$4,"")</f>
        <v/>
      </c>
      <c r="E56" s="24" t="str">
        <f>IF(ISNUMBER('Список деталей'!E64), 'Список деталей'!E64, "")</f>
        <v/>
      </c>
      <c r="F56" s="24" t="str">
        <f>IF(ISNUMBER('Список деталей'!C64), 'Список деталей'!C64, "")</f>
        <v/>
      </c>
      <c r="G56" s="24" t="str">
        <f>IF(ISNUMBER('Список деталей'!D64), 'Список деталей'!D64, "")</f>
        <v/>
      </c>
      <c r="H56" s="3" t="str">
        <f t="shared" si="0"/>
        <v xml:space="preserve">    </v>
      </c>
      <c r="I56" s="3" t="str">
        <f>IF(ISBLANK('Список деталей'!F64),"",VLOOKUP('Список деталей'!F64,обозначениКромки,4,0))</f>
        <v/>
      </c>
      <c r="J56" s="25" t="str">
        <f>IF(ISBLANK('Список деталей'!G64),"",VLOOKUP('Список деталей'!G64,обозначениКромки,4,0))</f>
        <v/>
      </c>
      <c r="K56" s="25" t="str">
        <f>IF(ISBLANK('Список деталей'!H64),"",VLOOKUP('Список деталей'!H64,обозначениКромки,4,0))</f>
        <v/>
      </c>
      <c r="L56" s="25" t="str">
        <f>IF(ISBLANK('Список деталей'!I64),"",VLOOKUP('Список деталей'!I64,обозначениКромки,4,0))</f>
        <v/>
      </c>
      <c r="M56" s="24" t="str">
        <f>IF(ISBLANK('Список деталей'!Y64),"",('Список деталей'!Y64))</f>
        <v/>
      </c>
      <c r="N56" s="3" t="str">
        <f>IF(ISBLANK('Список деталей'!Z64),"",('Список деталей'!Z64))</f>
        <v/>
      </c>
      <c r="O56" s="3" t="str">
        <f>IF(ISBLANK('Список деталей'!AA64),"",('Список деталей'!AA64))</f>
        <v/>
      </c>
      <c r="P56" s="3" t="str">
        <f>IF(ISBLANK('Список деталей'!AB64),"",('Список деталей'!AB64))</f>
        <v/>
      </c>
      <c r="Q56" s="45">
        <f>VLOOKUP(IF(ISBLANK('Список деталей'!H64)=TRUE,7,'Список деталей'!H64),кромка,2,0)+VLOOKUP(IF(ISBLANK('Список деталей'!I64)=TRUE,7,'Список деталей'!I64),кромка,2,0)+'Список деталей'!C64</f>
        <v>0</v>
      </c>
      <c r="R56" s="45">
        <f>VLOOKUP(IF(ISBLANK('Список деталей'!F64)=TRUE,7,'Список деталей'!F64),кромка,2,0)+VLOOKUP(IF(ISBLANK('Список деталей'!G64)=TRUE,7,'Список деталей'!G64),кромка,2,0)+'Список деталей'!D64</f>
        <v>0</v>
      </c>
      <c r="S56" s="42">
        <f>IF('Список деталей'!H64="",0,1)+IF('Список деталей'!I64="",0,1)+'Список деталей'!C64</f>
        <v>0</v>
      </c>
      <c r="T56" s="42">
        <f>IF('Список деталей'!F64="",0,1)+IF('Список деталей'!G64="",0,1)+'Список деталей'!D64</f>
        <v>0</v>
      </c>
      <c r="U56" s="3" t="str">
        <f>IF(ISBLANK('Список деталей'!K64),"",'Список деталей'!K64)</f>
        <v/>
      </c>
      <c r="V56" s="3" t="str">
        <f>IF(AND('Список деталей'!C64&gt;849,'Список деталей'!D64&gt;849)=TRUE,1*'Список деталей'!E64,"")</f>
        <v/>
      </c>
    </row>
    <row r="57" spans="1:22" x14ac:dyDescent="0.45">
      <c r="A57" s="3">
        <f>IF(ISNUMBER('Список деталей'!A65), 'Список деталей'!A65, "")</f>
        <v>56</v>
      </c>
      <c r="B57" s="30" t="str">
        <f>IF(ISBLANK('Список деталей'!B65),"",'Список деталей'!B65)</f>
        <v/>
      </c>
      <c r="C57" s="3" t="str">
        <f>IF(ISNUMBER('Список деталей'!C65), $W$4,"")</f>
        <v/>
      </c>
      <c r="D57" s="3" t="str">
        <f>IF(ISNUMBER('Список деталей'!C65), 'Список деталей'!$I$4,"")</f>
        <v/>
      </c>
      <c r="E57" s="24" t="str">
        <f>IF(ISNUMBER('Список деталей'!E65), 'Список деталей'!E65, "")</f>
        <v/>
      </c>
      <c r="F57" s="24" t="str">
        <f>IF(ISNUMBER('Список деталей'!C65), 'Список деталей'!C65, "")</f>
        <v/>
      </c>
      <c r="G57" s="24" t="str">
        <f>IF(ISNUMBER('Список деталей'!D65), 'Список деталей'!D65, "")</f>
        <v/>
      </c>
      <c r="H57" s="3" t="str">
        <f t="shared" si="0"/>
        <v xml:space="preserve">    </v>
      </c>
      <c r="I57" s="3" t="str">
        <f>IF(ISBLANK('Список деталей'!F65),"",VLOOKUP('Список деталей'!F65,обозначениКромки,4,0))</f>
        <v/>
      </c>
      <c r="J57" s="25" t="str">
        <f>IF(ISBLANK('Список деталей'!G65),"",VLOOKUP('Список деталей'!G65,обозначениКромки,4,0))</f>
        <v/>
      </c>
      <c r="K57" s="25" t="str">
        <f>IF(ISBLANK('Список деталей'!H65),"",VLOOKUP('Список деталей'!H65,обозначениКромки,4,0))</f>
        <v/>
      </c>
      <c r="L57" s="25" t="str">
        <f>IF(ISBLANK('Список деталей'!I65),"",VLOOKUP('Список деталей'!I65,обозначениКромки,4,0))</f>
        <v/>
      </c>
      <c r="M57" s="24" t="str">
        <f>IF(ISBLANK('Список деталей'!Y65),"",('Список деталей'!Y65))</f>
        <v/>
      </c>
      <c r="N57" s="3" t="str">
        <f>IF(ISBLANK('Список деталей'!Z65),"",('Список деталей'!Z65))</f>
        <v/>
      </c>
      <c r="O57" s="3" t="str">
        <f>IF(ISBLANK('Список деталей'!AA65),"",('Список деталей'!AA65))</f>
        <v/>
      </c>
      <c r="P57" s="3" t="str">
        <f>IF(ISBLANK('Список деталей'!AB65),"",('Список деталей'!AB65))</f>
        <v/>
      </c>
      <c r="Q57" s="45">
        <f>VLOOKUP(IF(ISBLANK('Список деталей'!H65)=TRUE,7,'Список деталей'!H65),кромка,2,0)+VLOOKUP(IF(ISBLANK('Список деталей'!I65)=TRUE,7,'Список деталей'!I65),кромка,2,0)+'Список деталей'!C65</f>
        <v>0</v>
      </c>
      <c r="R57" s="45">
        <f>VLOOKUP(IF(ISBLANK('Список деталей'!F65)=TRUE,7,'Список деталей'!F65),кромка,2,0)+VLOOKUP(IF(ISBLANK('Список деталей'!G65)=TRUE,7,'Список деталей'!G65),кромка,2,0)+'Список деталей'!D65</f>
        <v>0</v>
      </c>
      <c r="S57" s="42">
        <f>IF('Список деталей'!H65="",0,1)+IF('Список деталей'!I65="",0,1)+'Список деталей'!C65</f>
        <v>0</v>
      </c>
      <c r="T57" s="42">
        <f>IF('Список деталей'!F65="",0,1)+IF('Список деталей'!G65="",0,1)+'Список деталей'!D65</f>
        <v>0</v>
      </c>
      <c r="U57" s="3" t="str">
        <f>IF(ISBLANK('Список деталей'!K65),"",'Список деталей'!K65)</f>
        <v/>
      </c>
      <c r="V57" s="3" t="str">
        <f>IF(AND('Список деталей'!C65&gt;849,'Список деталей'!D65&gt;849)=TRUE,1*'Список деталей'!E65,"")</f>
        <v/>
      </c>
    </row>
    <row r="58" spans="1:22" x14ac:dyDescent="0.45">
      <c r="A58" s="3">
        <f>IF(ISNUMBER('Список деталей'!A66), 'Список деталей'!A66, "")</f>
        <v>57</v>
      </c>
      <c r="B58" s="30" t="str">
        <f>IF(ISBLANK('Список деталей'!B66),"",'Список деталей'!B66)</f>
        <v/>
      </c>
      <c r="C58" s="3" t="str">
        <f>IF(ISNUMBER('Список деталей'!C66), $W$4,"")</f>
        <v/>
      </c>
      <c r="D58" s="3" t="str">
        <f>IF(ISNUMBER('Список деталей'!C66), 'Список деталей'!$I$4,"")</f>
        <v/>
      </c>
      <c r="E58" s="24" t="str">
        <f>IF(ISNUMBER('Список деталей'!E66), 'Список деталей'!E66, "")</f>
        <v/>
      </c>
      <c r="F58" s="24" t="str">
        <f>IF(ISNUMBER('Список деталей'!C66), 'Список деталей'!C66, "")</f>
        <v/>
      </c>
      <c r="G58" s="24" t="str">
        <f>IF(ISNUMBER('Список деталей'!D66), 'Список деталей'!D66, "")</f>
        <v/>
      </c>
      <c r="H58" s="3" t="str">
        <f t="shared" si="0"/>
        <v xml:space="preserve">    </v>
      </c>
      <c r="I58" s="3" t="str">
        <f>IF(ISBLANK('Список деталей'!F66),"",VLOOKUP('Список деталей'!F66,обозначениКромки,4,0))</f>
        <v/>
      </c>
      <c r="J58" s="25" t="str">
        <f>IF(ISBLANK('Список деталей'!G66),"",VLOOKUP('Список деталей'!G66,обозначениКромки,4,0))</f>
        <v/>
      </c>
      <c r="K58" s="25" t="str">
        <f>IF(ISBLANK('Список деталей'!H66),"",VLOOKUP('Список деталей'!H66,обозначениКромки,4,0))</f>
        <v/>
      </c>
      <c r="L58" s="25" t="str">
        <f>IF(ISBLANK('Список деталей'!I66),"",VLOOKUP('Список деталей'!I66,обозначениКромки,4,0))</f>
        <v/>
      </c>
      <c r="M58" s="24" t="str">
        <f>IF(ISBLANK('Список деталей'!Y66),"",('Список деталей'!Y66))</f>
        <v/>
      </c>
      <c r="N58" s="3" t="str">
        <f>IF(ISBLANK('Список деталей'!Z66),"",('Список деталей'!Z66))</f>
        <v/>
      </c>
      <c r="O58" s="3" t="str">
        <f>IF(ISBLANK('Список деталей'!AA66),"",('Список деталей'!AA66))</f>
        <v/>
      </c>
      <c r="P58" s="3" t="str">
        <f>IF(ISBLANK('Список деталей'!AB66),"",('Список деталей'!AB66))</f>
        <v/>
      </c>
      <c r="Q58" s="45">
        <f>VLOOKUP(IF(ISBLANK('Список деталей'!H66)=TRUE,7,'Список деталей'!H66),кромка,2,0)+VLOOKUP(IF(ISBLANK('Список деталей'!I66)=TRUE,7,'Список деталей'!I66),кромка,2,0)+'Список деталей'!C66</f>
        <v>0</v>
      </c>
      <c r="R58" s="45">
        <f>VLOOKUP(IF(ISBLANK('Список деталей'!F66)=TRUE,7,'Список деталей'!F66),кромка,2,0)+VLOOKUP(IF(ISBLANK('Список деталей'!G66)=TRUE,7,'Список деталей'!G66),кромка,2,0)+'Список деталей'!D66</f>
        <v>0</v>
      </c>
      <c r="S58" s="42">
        <f>IF('Список деталей'!H66="",0,1)+IF('Список деталей'!I66="",0,1)+'Список деталей'!C66</f>
        <v>0</v>
      </c>
      <c r="T58" s="42">
        <f>IF('Список деталей'!F66="",0,1)+IF('Список деталей'!G66="",0,1)+'Список деталей'!D66</f>
        <v>0</v>
      </c>
      <c r="U58" s="3" t="str">
        <f>IF(ISBLANK('Список деталей'!K66),"",'Список деталей'!K66)</f>
        <v/>
      </c>
      <c r="V58" s="3" t="str">
        <f>IF(AND('Список деталей'!C66&gt;849,'Список деталей'!D66&gt;849)=TRUE,1*'Список деталей'!E66,"")</f>
        <v/>
      </c>
    </row>
    <row r="59" spans="1:22" x14ac:dyDescent="0.45">
      <c r="A59" s="3">
        <f>IF(ISNUMBER('Список деталей'!A67), 'Список деталей'!A67, "")</f>
        <v>58</v>
      </c>
      <c r="B59" s="30" t="str">
        <f>IF(ISBLANK('Список деталей'!B67),"",'Список деталей'!B67)</f>
        <v/>
      </c>
      <c r="C59" s="3" t="str">
        <f>IF(ISNUMBER('Список деталей'!C67), $W$4,"")</f>
        <v/>
      </c>
      <c r="D59" s="3" t="str">
        <f>IF(ISNUMBER('Список деталей'!C67), 'Список деталей'!$I$4,"")</f>
        <v/>
      </c>
      <c r="E59" s="24" t="str">
        <f>IF(ISNUMBER('Список деталей'!E67), 'Список деталей'!E67, "")</f>
        <v/>
      </c>
      <c r="F59" s="24" t="str">
        <f>IF(ISNUMBER('Список деталей'!C67), 'Список деталей'!C67, "")</f>
        <v/>
      </c>
      <c r="G59" s="24" t="str">
        <f>IF(ISNUMBER('Список деталей'!D67), 'Список деталей'!D67, "")</f>
        <v/>
      </c>
      <c r="H59" s="3" t="str">
        <f t="shared" si="0"/>
        <v xml:space="preserve">    </v>
      </c>
      <c r="I59" s="3" t="str">
        <f>IF(ISBLANK('Список деталей'!F67),"",VLOOKUP('Список деталей'!F67,обозначениКромки,4,0))</f>
        <v/>
      </c>
      <c r="J59" s="25" t="str">
        <f>IF(ISBLANK('Список деталей'!G67),"",VLOOKUP('Список деталей'!G67,обозначениКромки,4,0))</f>
        <v/>
      </c>
      <c r="K59" s="25" t="str">
        <f>IF(ISBLANK('Список деталей'!H67),"",VLOOKUP('Список деталей'!H67,обозначениКромки,4,0))</f>
        <v/>
      </c>
      <c r="L59" s="25" t="str">
        <f>IF(ISBLANK('Список деталей'!I67),"",VLOOKUP('Список деталей'!I67,обозначениКромки,4,0))</f>
        <v/>
      </c>
      <c r="M59" s="24" t="str">
        <f>IF(ISBLANK('Список деталей'!Y67),"",('Список деталей'!Y67))</f>
        <v/>
      </c>
      <c r="N59" s="3" t="str">
        <f>IF(ISBLANK('Список деталей'!Z67),"",('Список деталей'!Z67))</f>
        <v/>
      </c>
      <c r="O59" s="3" t="str">
        <f>IF(ISBLANK('Список деталей'!AA67),"",('Список деталей'!AA67))</f>
        <v/>
      </c>
      <c r="P59" s="3" t="str">
        <f>IF(ISBLANK('Список деталей'!AB67),"",('Список деталей'!AB67))</f>
        <v/>
      </c>
      <c r="Q59" s="45">
        <f>VLOOKUP(IF(ISBLANK('Список деталей'!H67)=TRUE,7,'Список деталей'!H67),кромка,2,0)+VLOOKUP(IF(ISBLANK('Список деталей'!I67)=TRUE,7,'Список деталей'!I67),кромка,2,0)+'Список деталей'!C67</f>
        <v>0</v>
      </c>
      <c r="R59" s="45">
        <f>VLOOKUP(IF(ISBLANK('Список деталей'!F67)=TRUE,7,'Список деталей'!F67),кромка,2,0)+VLOOKUP(IF(ISBLANK('Список деталей'!G67)=TRUE,7,'Список деталей'!G67),кромка,2,0)+'Список деталей'!D67</f>
        <v>0</v>
      </c>
      <c r="S59" s="42">
        <f>IF('Список деталей'!H67="",0,1)+IF('Список деталей'!I67="",0,1)+'Список деталей'!C67</f>
        <v>0</v>
      </c>
      <c r="T59" s="42">
        <f>IF('Список деталей'!F67="",0,1)+IF('Список деталей'!G67="",0,1)+'Список деталей'!D67</f>
        <v>0</v>
      </c>
      <c r="U59" s="3" t="str">
        <f>IF(ISBLANK('Список деталей'!K67),"",'Список деталей'!K67)</f>
        <v/>
      </c>
      <c r="V59" s="3" t="str">
        <f>IF(AND('Список деталей'!C67&gt;849,'Список деталей'!D67&gt;849)=TRUE,1*'Список деталей'!E67,"")</f>
        <v/>
      </c>
    </row>
    <row r="60" spans="1:22" x14ac:dyDescent="0.45">
      <c r="A60" s="3">
        <f>IF(ISNUMBER('Список деталей'!A68), 'Список деталей'!A68, "")</f>
        <v>59</v>
      </c>
      <c r="B60" s="30" t="str">
        <f>IF(ISBLANK('Список деталей'!B68),"",'Список деталей'!B68)</f>
        <v/>
      </c>
      <c r="C60" s="3" t="str">
        <f>IF(ISNUMBER('Список деталей'!C68), $W$4,"")</f>
        <v/>
      </c>
      <c r="D60" s="3" t="str">
        <f>IF(ISNUMBER('Список деталей'!C68), 'Список деталей'!$I$4,"")</f>
        <v/>
      </c>
      <c r="E60" s="24" t="str">
        <f>IF(ISNUMBER('Список деталей'!E68), 'Список деталей'!E68, "")</f>
        <v/>
      </c>
      <c r="F60" s="24" t="str">
        <f>IF(ISNUMBER('Список деталей'!C68), 'Список деталей'!C68, "")</f>
        <v/>
      </c>
      <c r="G60" s="24" t="str">
        <f>IF(ISNUMBER('Список деталей'!D68), 'Список деталей'!D68, "")</f>
        <v/>
      </c>
      <c r="H60" s="3" t="str">
        <f t="shared" si="0"/>
        <v xml:space="preserve">    </v>
      </c>
      <c r="I60" s="3" t="str">
        <f>IF(ISBLANK('Список деталей'!F68),"",VLOOKUP('Список деталей'!F68,обозначениКромки,4,0))</f>
        <v/>
      </c>
      <c r="J60" s="25" t="str">
        <f>IF(ISBLANK('Список деталей'!G68),"",VLOOKUP('Список деталей'!G68,обозначениКромки,4,0))</f>
        <v/>
      </c>
      <c r="K60" s="25" t="str">
        <f>IF(ISBLANK('Список деталей'!H68),"",VLOOKUP('Список деталей'!H68,обозначениКромки,4,0))</f>
        <v/>
      </c>
      <c r="L60" s="25" t="str">
        <f>IF(ISBLANK('Список деталей'!I68),"",VLOOKUP('Список деталей'!I68,обозначениКромки,4,0))</f>
        <v/>
      </c>
      <c r="M60" s="24" t="str">
        <f>IF(ISBLANK('Список деталей'!Y68),"",('Список деталей'!Y68))</f>
        <v/>
      </c>
      <c r="N60" s="3" t="str">
        <f>IF(ISBLANK('Список деталей'!Z68),"",('Список деталей'!Z68))</f>
        <v/>
      </c>
      <c r="O60" s="3" t="str">
        <f>IF(ISBLANK('Список деталей'!AA68),"",('Список деталей'!AA68))</f>
        <v/>
      </c>
      <c r="P60" s="3" t="str">
        <f>IF(ISBLANK('Список деталей'!AB68),"",('Список деталей'!AB68))</f>
        <v/>
      </c>
      <c r="Q60" s="45">
        <f>VLOOKUP(IF(ISBLANK('Список деталей'!H68)=TRUE,7,'Список деталей'!H68),кромка,2,0)+VLOOKUP(IF(ISBLANK('Список деталей'!I68)=TRUE,7,'Список деталей'!I68),кромка,2,0)+'Список деталей'!C68</f>
        <v>0</v>
      </c>
      <c r="R60" s="45">
        <f>VLOOKUP(IF(ISBLANK('Список деталей'!F68)=TRUE,7,'Список деталей'!F68),кромка,2,0)+VLOOKUP(IF(ISBLANK('Список деталей'!G68)=TRUE,7,'Список деталей'!G68),кромка,2,0)+'Список деталей'!D68</f>
        <v>0</v>
      </c>
      <c r="S60" s="42">
        <f>IF('Список деталей'!H68="",0,1)+IF('Список деталей'!I68="",0,1)+'Список деталей'!C68</f>
        <v>0</v>
      </c>
      <c r="T60" s="42">
        <f>IF('Список деталей'!F68="",0,1)+IF('Список деталей'!G68="",0,1)+'Список деталей'!D68</f>
        <v>0</v>
      </c>
      <c r="U60" s="3" t="str">
        <f>IF(ISBLANK('Список деталей'!K68),"",'Список деталей'!K68)</f>
        <v/>
      </c>
      <c r="V60" s="3" t="str">
        <f>IF(AND('Список деталей'!C68&gt;849,'Список деталей'!D68&gt;849)=TRUE,1*'Список деталей'!E68,"")</f>
        <v/>
      </c>
    </row>
    <row r="61" spans="1:22" x14ac:dyDescent="0.45">
      <c r="A61" s="3">
        <f>IF(ISNUMBER('Список деталей'!A69), 'Список деталей'!A69, "")</f>
        <v>60</v>
      </c>
      <c r="B61" s="30" t="str">
        <f>IF(ISBLANK('Список деталей'!B69),"",'Список деталей'!B69)</f>
        <v/>
      </c>
      <c r="C61" s="3" t="str">
        <f>IF(ISNUMBER('Список деталей'!C69), $W$4,"")</f>
        <v/>
      </c>
      <c r="D61" s="3" t="str">
        <f>IF(ISNUMBER('Список деталей'!C69), 'Список деталей'!$I$4,"")</f>
        <v/>
      </c>
      <c r="E61" s="24" t="str">
        <f>IF(ISNUMBER('Список деталей'!E69), 'Список деталей'!E69, "")</f>
        <v/>
      </c>
      <c r="F61" s="24" t="str">
        <f>IF(ISNUMBER('Список деталей'!C69), 'Список деталей'!C69, "")</f>
        <v/>
      </c>
      <c r="G61" s="24" t="str">
        <f>IF(ISNUMBER('Список деталей'!D69), 'Список деталей'!D69, "")</f>
        <v/>
      </c>
      <c r="H61" s="3" t="str">
        <f t="shared" si="0"/>
        <v xml:space="preserve">    </v>
      </c>
      <c r="I61" s="3" t="str">
        <f>IF(ISBLANK('Список деталей'!F69),"",VLOOKUP('Список деталей'!F69,обозначениКромки,4,0))</f>
        <v/>
      </c>
      <c r="J61" s="25" t="str">
        <f>IF(ISBLANK('Список деталей'!G69),"",VLOOKUP('Список деталей'!G69,обозначениКромки,4,0))</f>
        <v/>
      </c>
      <c r="K61" s="25" t="str">
        <f>IF(ISBLANK('Список деталей'!H69),"",VLOOKUP('Список деталей'!H69,обозначениКромки,4,0))</f>
        <v/>
      </c>
      <c r="L61" s="25" t="str">
        <f>IF(ISBLANK('Список деталей'!I69),"",VLOOKUP('Список деталей'!I69,обозначениКромки,4,0))</f>
        <v/>
      </c>
      <c r="M61" s="24" t="str">
        <f>IF(ISBLANK('Список деталей'!Y69),"",('Список деталей'!Y69))</f>
        <v/>
      </c>
      <c r="N61" s="3" t="str">
        <f>IF(ISBLANK('Список деталей'!Z69),"",('Список деталей'!Z69))</f>
        <v/>
      </c>
      <c r="O61" s="3" t="str">
        <f>IF(ISBLANK('Список деталей'!AA69),"",('Список деталей'!AA69))</f>
        <v/>
      </c>
      <c r="P61" s="3" t="str">
        <f>IF(ISBLANK('Список деталей'!AB69),"",('Список деталей'!AB69))</f>
        <v/>
      </c>
      <c r="Q61" s="45">
        <f>VLOOKUP(IF(ISBLANK('Список деталей'!H69)=TRUE,7,'Список деталей'!H69),кромка,2,0)+VLOOKUP(IF(ISBLANK('Список деталей'!I69)=TRUE,7,'Список деталей'!I69),кромка,2,0)+'Список деталей'!C69</f>
        <v>0</v>
      </c>
      <c r="R61" s="45">
        <f>VLOOKUP(IF(ISBLANK('Список деталей'!F69)=TRUE,7,'Список деталей'!F69),кромка,2,0)+VLOOKUP(IF(ISBLANK('Список деталей'!G69)=TRUE,7,'Список деталей'!G69),кромка,2,0)+'Список деталей'!D69</f>
        <v>0</v>
      </c>
      <c r="S61" s="42">
        <f>IF('Список деталей'!H69="",0,1)+IF('Список деталей'!I69="",0,1)+'Список деталей'!C69</f>
        <v>0</v>
      </c>
      <c r="T61" s="42">
        <f>IF('Список деталей'!F69="",0,1)+IF('Список деталей'!G69="",0,1)+'Список деталей'!D69</f>
        <v>0</v>
      </c>
      <c r="U61" s="3" t="str">
        <f>IF(ISBLANK('Список деталей'!K69),"",'Список деталей'!K69)</f>
        <v/>
      </c>
      <c r="V61" s="3" t="str">
        <f>IF(AND('Список деталей'!C69&gt;849,'Список деталей'!D69&gt;849)=TRUE,1*'Список деталей'!E69,"")</f>
        <v/>
      </c>
    </row>
    <row r="62" spans="1:22" x14ac:dyDescent="0.45">
      <c r="A62" s="3">
        <f>IF(ISNUMBER('Список деталей'!A70), 'Список деталей'!A70, "")</f>
        <v>61</v>
      </c>
      <c r="B62" s="30" t="str">
        <f>IF(ISBLANK('Список деталей'!B70),"",'Список деталей'!B70)</f>
        <v/>
      </c>
      <c r="C62" s="3" t="str">
        <f>IF(ISNUMBER('Список деталей'!C70), $W$4,"")</f>
        <v/>
      </c>
      <c r="D62" s="3" t="str">
        <f>IF(ISNUMBER('Список деталей'!C70), 'Список деталей'!$I$4,"")</f>
        <v/>
      </c>
      <c r="E62" s="24" t="str">
        <f>IF(ISNUMBER('Список деталей'!E70), 'Список деталей'!E70, "")</f>
        <v/>
      </c>
      <c r="F62" s="24" t="str">
        <f>IF(ISNUMBER('Список деталей'!C70), 'Список деталей'!C70, "")</f>
        <v/>
      </c>
      <c r="G62" s="24" t="str">
        <f>IF(ISNUMBER('Список деталей'!D70), 'Список деталей'!D70, "")</f>
        <v/>
      </c>
      <c r="H62" s="3" t="str">
        <f t="shared" si="0"/>
        <v xml:space="preserve">    </v>
      </c>
      <c r="I62" s="3" t="str">
        <f>IF(ISBLANK('Список деталей'!F70),"",VLOOKUP('Список деталей'!F70,обозначениКромки,4,0))</f>
        <v/>
      </c>
      <c r="J62" s="25" t="str">
        <f>IF(ISBLANK('Список деталей'!G70),"",VLOOKUP('Список деталей'!G70,обозначениКромки,4,0))</f>
        <v/>
      </c>
      <c r="K62" s="25" t="str">
        <f>IF(ISBLANK('Список деталей'!H70),"",VLOOKUP('Список деталей'!H70,обозначениКромки,4,0))</f>
        <v/>
      </c>
      <c r="L62" s="25" t="str">
        <f>IF(ISBLANK('Список деталей'!I70),"",VLOOKUP('Список деталей'!I70,обозначениКромки,4,0))</f>
        <v/>
      </c>
      <c r="M62" s="24" t="str">
        <f>IF(ISBLANK('Список деталей'!Y70),"",('Список деталей'!Y70))</f>
        <v/>
      </c>
      <c r="N62" s="3" t="str">
        <f>IF(ISBLANK('Список деталей'!Z70),"",('Список деталей'!Z70))</f>
        <v/>
      </c>
      <c r="O62" s="3" t="str">
        <f>IF(ISBLANK('Список деталей'!AA70),"",('Список деталей'!AA70))</f>
        <v/>
      </c>
      <c r="P62" s="3" t="str">
        <f>IF(ISBLANK('Список деталей'!AB70),"",('Список деталей'!AB70))</f>
        <v/>
      </c>
      <c r="Q62" s="45">
        <f>VLOOKUP(IF(ISBLANK('Список деталей'!H70)=TRUE,7,'Список деталей'!H70),кромка,2,0)+VLOOKUP(IF(ISBLANK('Список деталей'!I70)=TRUE,7,'Список деталей'!I70),кромка,2,0)+'Список деталей'!C70</f>
        <v>0</v>
      </c>
      <c r="R62" s="45">
        <f>VLOOKUP(IF(ISBLANK('Список деталей'!F70)=TRUE,7,'Список деталей'!F70),кромка,2,0)+VLOOKUP(IF(ISBLANK('Список деталей'!G70)=TRUE,7,'Список деталей'!G70),кромка,2,0)+'Список деталей'!D70</f>
        <v>0</v>
      </c>
      <c r="S62" s="42">
        <f>IF('Список деталей'!H70="",0,1)+IF('Список деталей'!I70="",0,1)+'Список деталей'!C70</f>
        <v>0</v>
      </c>
      <c r="T62" s="42">
        <f>IF('Список деталей'!F70="",0,1)+IF('Список деталей'!G70="",0,1)+'Список деталей'!D70</f>
        <v>0</v>
      </c>
      <c r="U62" s="3" t="str">
        <f>IF(ISBLANK('Список деталей'!K70),"",'Список деталей'!K70)</f>
        <v/>
      </c>
      <c r="V62" s="3" t="str">
        <f>IF(AND('Список деталей'!C70&gt;849,'Список деталей'!D70&gt;849)=TRUE,1*'Список деталей'!E70,"")</f>
        <v/>
      </c>
    </row>
    <row r="63" spans="1:22" x14ac:dyDescent="0.45">
      <c r="A63" s="3">
        <f>IF(ISNUMBER('Список деталей'!A71), 'Список деталей'!A71, "")</f>
        <v>62</v>
      </c>
      <c r="B63" s="30" t="str">
        <f>IF(ISBLANK('Список деталей'!B71),"",'Список деталей'!B71)</f>
        <v/>
      </c>
      <c r="C63" s="3" t="str">
        <f>IF(ISNUMBER('Список деталей'!C71), $W$4,"")</f>
        <v/>
      </c>
      <c r="D63" s="3" t="str">
        <f>IF(ISNUMBER('Список деталей'!C71), 'Список деталей'!$I$4,"")</f>
        <v/>
      </c>
      <c r="E63" s="24" t="str">
        <f>IF(ISNUMBER('Список деталей'!E71), 'Список деталей'!E71, "")</f>
        <v/>
      </c>
      <c r="F63" s="24" t="str">
        <f>IF(ISNUMBER('Список деталей'!C71), 'Список деталей'!C71, "")</f>
        <v/>
      </c>
      <c r="G63" s="24" t="str">
        <f>IF(ISNUMBER('Список деталей'!D71), 'Список деталей'!D71, "")</f>
        <v/>
      </c>
      <c r="H63" s="3" t="str">
        <f t="shared" si="0"/>
        <v xml:space="preserve">    </v>
      </c>
      <c r="I63" s="3" t="str">
        <f>IF(ISBLANK('Список деталей'!F71),"",VLOOKUP('Список деталей'!F71,обозначениКромки,4,0))</f>
        <v/>
      </c>
      <c r="J63" s="25" t="str">
        <f>IF(ISBLANK('Список деталей'!G71),"",VLOOKUP('Список деталей'!G71,обозначениКромки,4,0))</f>
        <v/>
      </c>
      <c r="K63" s="25" t="str">
        <f>IF(ISBLANK('Список деталей'!H71),"",VLOOKUP('Список деталей'!H71,обозначениКромки,4,0))</f>
        <v/>
      </c>
      <c r="L63" s="25" t="str">
        <f>IF(ISBLANK('Список деталей'!I71),"",VLOOKUP('Список деталей'!I71,обозначениКромки,4,0))</f>
        <v/>
      </c>
      <c r="M63" s="24" t="str">
        <f>IF(ISBLANK('Список деталей'!Y71),"",('Список деталей'!Y71))</f>
        <v/>
      </c>
      <c r="N63" s="3" t="str">
        <f>IF(ISBLANK('Список деталей'!Z71),"",('Список деталей'!Z71))</f>
        <v/>
      </c>
      <c r="O63" s="3" t="str">
        <f>IF(ISBLANK('Список деталей'!AA71),"",('Список деталей'!AA71))</f>
        <v/>
      </c>
      <c r="P63" s="3" t="str">
        <f>IF(ISBLANK('Список деталей'!AB71),"",('Список деталей'!AB71))</f>
        <v/>
      </c>
      <c r="Q63" s="45">
        <f>VLOOKUP(IF(ISBLANK('Список деталей'!H71)=TRUE,7,'Список деталей'!H71),кромка,2,0)+VLOOKUP(IF(ISBLANK('Список деталей'!I71)=TRUE,7,'Список деталей'!I71),кромка,2,0)+'Список деталей'!C71</f>
        <v>0</v>
      </c>
      <c r="R63" s="45">
        <f>VLOOKUP(IF(ISBLANK('Список деталей'!F71)=TRUE,7,'Список деталей'!F71),кромка,2,0)+VLOOKUP(IF(ISBLANK('Список деталей'!G71)=TRUE,7,'Список деталей'!G71),кромка,2,0)+'Список деталей'!D71</f>
        <v>0</v>
      </c>
      <c r="S63" s="42">
        <f>IF('Список деталей'!H71="",0,1)+IF('Список деталей'!I71="",0,1)+'Список деталей'!C71</f>
        <v>0</v>
      </c>
      <c r="T63" s="42">
        <f>IF('Список деталей'!F71="",0,1)+IF('Список деталей'!G71="",0,1)+'Список деталей'!D71</f>
        <v>0</v>
      </c>
      <c r="U63" s="3" t="str">
        <f>IF(ISBLANK('Список деталей'!K71),"",'Список деталей'!K71)</f>
        <v/>
      </c>
      <c r="V63" s="3" t="str">
        <f>IF(AND('Список деталей'!C71&gt;849,'Список деталей'!D71&gt;849)=TRUE,1*'Список деталей'!E71,"")</f>
        <v/>
      </c>
    </row>
    <row r="64" spans="1:22" x14ac:dyDescent="0.45">
      <c r="A64" s="3">
        <f>IF(ISNUMBER('Список деталей'!A72), 'Список деталей'!A72, "")</f>
        <v>63</v>
      </c>
      <c r="B64" s="30" t="str">
        <f>IF(ISBLANK('Список деталей'!B72),"",'Список деталей'!B72)</f>
        <v/>
      </c>
      <c r="C64" s="3" t="str">
        <f>IF(ISNUMBER('Список деталей'!C72), $W$4,"")</f>
        <v/>
      </c>
      <c r="D64" s="3" t="str">
        <f>IF(ISNUMBER('Список деталей'!C72), 'Список деталей'!$I$4,"")</f>
        <v/>
      </c>
      <c r="E64" s="24" t="str">
        <f>IF(ISNUMBER('Список деталей'!E72), 'Список деталей'!E72, "")</f>
        <v/>
      </c>
      <c r="F64" s="24" t="str">
        <f>IF(ISNUMBER('Список деталей'!C72), 'Список деталей'!C72, "")</f>
        <v/>
      </c>
      <c r="G64" s="24" t="str">
        <f>IF(ISNUMBER('Список деталей'!D72), 'Список деталей'!D72, "")</f>
        <v/>
      </c>
      <c r="H64" s="3" t="str">
        <f t="shared" si="0"/>
        <v xml:space="preserve">    </v>
      </c>
      <c r="I64" s="3" t="str">
        <f>IF(ISBLANK('Список деталей'!F72),"",VLOOKUP('Список деталей'!F72,обозначениКромки,4,0))</f>
        <v/>
      </c>
      <c r="J64" s="25" t="str">
        <f>IF(ISBLANK('Список деталей'!G72),"",VLOOKUP('Список деталей'!G72,обозначениКромки,4,0))</f>
        <v/>
      </c>
      <c r="K64" s="25" t="str">
        <f>IF(ISBLANK('Список деталей'!H72),"",VLOOKUP('Список деталей'!H72,обозначениКромки,4,0))</f>
        <v/>
      </c>
      <c r="L64" s="25" t="str">
        <f>IF(ISBLANK('Список деталей'!I72),"",VLOOKUP('Список деталей'!I72,обозначениКромки,4,0))</f>
        <v/>
      </c>
      <c r="M64" s="24" t="str">
        <f>IF(ISBLANK('Список деталей'!Y72),"",('Список деталей'!Y72))</f>
        <v/>
      </c>
      <c r="N64" s="3" t="str">
        <f>IF(ISBLANK('Список деталей'!Z72),"",('Список деталей'!Z72))</f>
        <v/>
      </c>
      <c r="O64" s="3" t="str">
        <f>IF(ISBLANK('Список деталей'!AA72),"",('Список деталей'!AA72))</f>
        <v/>
      </c>
      <c r="P64" s="3" t="str">
        <f>IF(ISBLANK('Список деталей'!AB72),"",('Список деталей'!AB72))</f>
        <v/>
      </c>
      <c r="Q64" s="45">
        <f>VLOOKUP(IF(ISBLANK('Список деталей'!H72)=TRUE,7,'Список деталей'!H72),кромка,2,0)+VLOOKUP(IF(ISBLANK('Список деталей'!I72)=TRUE,7,'Список деталей'!I72),кромка,2,0)+'Список деталей'!C72</f>
        <v>0</v>
      </c>
      <c r="R64" s="45">
        <f>VLOOKUP(IF(ISBLANK('Список деталей'!F72)=TRUE,7,'Список деталей'!F72),кромка,2,0)+VLOOKUP(IF(ISBLANK('Список деталей'!G72)=TRUE,7,'Список деталей'!G72),кромка,2,0)+'Список деталей'!D72</f>
        <v>0</v>
      </c>
      <c r="S64" s="42">
        <f>IF('Список деталей'!H72="",0,1)+IF('Список деталей'!I72="",0,1)+'Список деталей'!C72</f>
        <v>0</v>
      </c>
      <c r="T64" s="42">
        <f>IF('Список деталей'!F72="",0,1)+IF('Список деталей'!G72="",0,1)+'Список деталей'!D72</f>
        <v>0</v>
      </c>
      <c r="U64" s="3" t="str">
        <f>IF(ISBLANK('Список деталей'!K72),"",'Список деталей'!K72)</f>
        <v/>
      </c>
      <c r="V64" s="3" t="str">
        <f>IF(AND('Список деталей'!C72&gt;849,'Список деталей'!D72&gt;849)=TRUE,1*'Список деталей'!E72,"")</f>
        <v/>
      </c>
    </row>
    <row r="65" spans="1:22" x14ac:dyDescent="0.45">
      <c r="A65" s="3">
        <f>IF(ISNUMBER('Список деталей'!A73), 'Список деталей'!A73, "")</f>
        <v>64</v>
      </c>
      <c r="B65" s="30" t="str">
        <f>IF(ISBLANK('Список деталей'!B73),"",'Список деталей'!B73)</f>
        <v/>
      </c>
      <c r="C65" s="3" t="str">
        <f>IF(ISNUMBER('Список деталей'!C73), $W$4,"")</f>
        <v/>
      </c>
      <c r="D65" s="3" t="str">
        <f>IF(ISNUMBER('Список деталей'!C73), 'Список деталей'!$I$4,"")</f>
        <v/>
      </c>
      <c r="E65" s="24" t="str">
        <f>IF(ISNUMBER('Список деталей'!E73), 'Список деталей'!E73, "")</f>
        <v/>
      </c>
      <c r="F65" s="24" t="str">
        <f>IF(ISNUMBER('Список деталей'!C73), 'Список деталей'!C73, "")</f>
        <v/>
      </c>
      <c r="G65" s="24" t="str">
        <f>IF(ISNUMBER('Список деталей'!D73), 'Список деталей'!D73, "")</f>
        <v/>
      </c>
      <c r="H65" s="3" t="str">
        <f t="shared" si="0"/>
        <v xml:space="preserve">    </v>
      </c>
      <c r="I65" s="3" t="str">
        <f>IF(ISBLANK('Список деталей'!F73),"",VLOOKUP('Список деталей'!F73,обозначениКромки,4,0))</f>
        <v/>
      </c>
      <c r="J65" s="25" t="str">
        <f>IF(ISBLANK('Список деталей'!G73),"",VLOOKUP('Список деталей'!G73,обозначениКромки,4,0))</f>
        <v/>
      </c>
      <c r="K65" s="25" t="str">
        <f>IF(ISBLANK('Список деталей'!H73),"",VLOOKUP('Список деталей'!H73,обозначениКромки,4,0))</f>
        <v/>
      </c>
      <c r="L65" s="25" t="str">
        <f>IF(ISBLANK('Список деталей'!I73),"",VLOOKUP('Список деталей'!I73,обозначениКромки,4,0))</f>
        <v/>
      </c>
      <c r="M65" s="24" t="str">
        <f>IF(ISBLANK('Список деталей'!Y73),"",('Список деталей'!Y73))</f>
        <v/>
      </c>
      <c r="N65" s="3" t="str">
        <f>IF(ISBLANK('Список деталей'!Z73),"",('Список деталей'!Z73))</f>
        <v/>
      </c>
      <c r="O65" s="3" t="str">
        <f>IF(ISBLANK('Список деталей'!AA73),"",('Список деталей'!AA73))</f>
        <v/>
      </c>
      <c r="P65" s="3" t="str">
        <f>IF(ISBLANK('Список деталей'!AB73),"",('Список деталей'!AB73))</f>
        <v/>
      </c>
      <c r="Q65" s="45">
        <f>VLOOKUP(IF(ISBLANK('Список деталей'!H73)=TRUE,7,'Список деталей'!H73),кромка,2,0)+VLOOKUP(IF(ISBLANK('Список деталей'!I73)=TRUE,7,'Список деталей'!I73),кромка,2,0)+'Список деталей'!C73</f>
        <v>0</v>
      </c>
      <c r="R65" s="45">
        <f>VLOOKUP(IF(ISBLANK('Список деталей'!F73)=TRUE,7,'Список деталей'!F73),кромка,2,0)+VLOOKUP(IF(ISBLANK('Список деталей'!G73)=TRUE,7,'Список деталей'!G73),кромка,2,0)+'Список деталей'!D73</f>
        <v>0</v>
      </c>
      <c r="S65" s="42">
        <f>IF('Список деталей'!H73="",0,1)+IF('Список деталей'!I73="",0,1)+'Список деталей'!C73</f>
        <v>0</v>
      </c>
      <c r="T65" s="42">
        <f>IF('Список деталей'!F73="",0,1)+IF('Список деталей'!G73="",0,1)+'Список деталей'!D73</f>
        <v>0</v>
      </c>
      <c r="U65" s="3" t="str">
        <f>IF(ISBLANK('Список деталей'!K73),"",'Список деталей'!K73)</f>
        <v/>
      </c>
      <c r="V65" s="3" t="str">
        <f>IF(AND('Список деталей'!C73&gt;849,'Список деталей'!D73&gt;849)=TRUE,1*'Список деталей'!E73,"")</f>
        <v/>
      </c>
    </row>
    <row r="66" spans="1:22" x14ac:dyDescent="0.45">
      <c r="A66" s="3">
        <f>IF(ISNUMBER('Список деталей'!A74), 'Список деталей'!A74, "")</f>
        <v>65</v>
      </c>
      <c r="B66" s="30" t="str">
        <f>IF(ISBLANK('Список деталей'!B74),"",'Список деталей'!B74)</f>
        <v/>
      </c>
      <c r="C66" s="3" t="str">
        <f>IF(ISNUMBER('Список деталей'!C74), $W$4,"")</f>
        <v/>
      </c>
      <c r="D66" s="3" t="str">
        <f>IF(ISNUMBER('Список деталей'!C74), 'Список деталей'!$I$4,"")</f>
        <v/>
      </c>
      <c r="E66" s="24" t="str">
        <f>IF(ISNUMBER('Список деталей'!E74), 'Список деталей'!E74, "")</f>
        <v/>
      </c>
      <c r="F66" s="24" t="str">
        <f>IF(ISNUMBER('Список деталей'!C74), 'Список деталей'!C74, "")</f>
        <v/>
      </c>
      <c r="G66" s="24" t="str">
        <f>IF(ISNUMBER('Список деталей'!D74), 'Список деталей'!D74, "")</f>
        <v/>
      </c>
      <c r="H66" s="3" t="str">
        <f t="shared" ref="H66:H129" si="1">U66&amp;" "&amp;M66&amp;" "&amp;N66&amp;" "&amp;O66&amp;" "&amp;P66</f>
        <v xml:space="preserve">    </v>
      </c>
      <c r="I66" s="3" t="str">
        <f>IF(ISBLANK('Список деталей'!F74),"",VLOOKUP('Список деталей'!F74,обозначениКромки,4,0))</f>
        <v/>
      </c>
      <c r="J66" s="25" t="str">
        <f>IF(ISBLANK('Список деталей'!G74),"",VLOOKUP('Список деталей'!G74,обозначениКромки,4,0))</f>
        <v/>
      </c>
      <c r="K66" s="25" t="str">
        <f>IF(ISBLANK('Список деталей'!H74),"",VLOOKUP('Список деталей'!H74,обозначениКромки,4,0))</f>
        <v/>
      </c>
      <c r="L66" s="25" t="str">
        <f>IF(ISBLANK('Список деталей'!I74),"",VLOOKUP('Список деталей'!I74,обозначениКромки,4,0))</f>
        <v/>
      </c>
      <c r="M66" s="24" t="str">
        <f>IF(ISBLANK('Список деталей'!Y74),"",('Список деталей'!Y74))</f>
        <v/>
      </c>
      <c r="N66" s="3" t="str">
        <f>IF(ISBLANK('Список деталей'!Z74),"",('Список деталей'!Z74))</f>
        <v/>
      </c>
      <c r="O66" s="3" t="str">
        <f>IF(ISBLANK('Список деталей'!AA74),"",('Список деталей'!AA74))</f>
        <v/>
      </c>
      <c r="P66" s="3" t="str">
        <f>IF(ISBLANK('Список деталей'!AB74),"",('Список деталей'!AB74))</f>
        <v/>
      </c>
      <c r="Q66" s="45">
        <f>VLOOKUP(IF(ISBLANK('Список деталей'!H74)=TRUE,7,'Список деталей'!H74),кромка,2,0)+VLOOKUP(IF(ISBLANK('Список деталей'!I74)=TRUE,7,'Список деталей'!I74),кромка,2,0)+'Список деталей'!C74</f>
        <v>0</v>
      </c>
      <c r="R66" s="45">
        <f>VLOOKUP(IF(ISBLANK('Список деталей'!F74)=TRUE,7,'Список деталей'!F74),кромка,2,0)+VLOOKUP(IF(ISBLANK('Список деталей'!G74)=TRUE,7,'Список деталей'!G74),кромка,2,0)+'Список деталей'!D74</f>
        <v>0</v>
      </c>
      <c r="S66" s="42">
        <f>IF('Список деталей'!H74="",0,1)+IF('Список деталей'!I74="",0,1)+'Список деталей'!C74</f>
        <v>0</v>
      </c>
      <c r="T66" s="42">
        <f>IF('Список деталей'!F74="",0,1)+IF('Список деталей'!G74="",0,1)+'Список деталей'!D74</f>
        <v>0</v>
      </c>
      <c r="U66" s="3" t="str">
        <f>IF(ISBLANK('Список деталей'!K74),"",'Список деталей'!K74)</f>
        <v/>
      </c>
      <c r="V66" s="3" t="str">
        <f>IF(AND('Список деталей'!C74&gt;849,'Список деталей'!D74&gt;849)=TRUE,1*'Список деталей'!E74,"")</f>
        <v/>
      </c>
    </row>
    <row r="67" spans="1:22" x14ac:dyDescent="0.45">
      <c r="A67" s="3">
        <f>IF(ISNUMBER('Список деталей'!A75), 'Список деталей'!A75, "")</f>
        <v>66</v>
      </c>
      <c r="B67" s="30" t="str">
        <f>IF(ISBLANK('Список деталей'!B75),"",'Список деталей'!B75)</f>
        <v/>
      </c>
      <c r="C67" s="3" t="str">
        <f>IF(ISNUMBER('Список деталей'!C75), $W$4,"")</f>
        <v/>
      </c>
      <c r="D67" s="3" t="str">
        <f>IF(ISNUMBER('Список деталей'!C75), 'Список деталей'!$I$4,"")</f>
        <v/>
      </c>
      <c r="E67" s="24" t="str">
        <f>IF(ISNUMBER('Список деталей'!E75), 'Список деталей'!E75, "")</f>
        <v/>
      </c>
      <c r="F67" s="24" t="str">
        <f>IF(ISNUMBER('Список деталей'!C75), 'Список деталей'!C75, "")</f>
        <v/>
      </c>
      <c r="G67" s="24" t="str">
        <f>IF(ISNUMBER('Список деталей'!D75), 'Список деталей'!D75, "")</f>
        <v/>
      </c>
      <c r="H67" s="3" t="str">
        <f t="shared" si="1"/>
        <v xml:space="preserve">    </v>
      </c>
      <c r="I67" s="3" t="str">
        <f>IF(ISBLANK('Список деталей'!F75),"",VLOOKUP('Список деталей'!F75,обозначениКромки,4,0))</f>
        <v/>
      </c>
      <c r="J67" s="25" t="str">
        <f>IF(ISBLANK('Список деталей'!G75),"",VLOOKUP('Список деталей'!G75,обозначениКромки,4,0))</f>
        <v/>
      </c>
      <c r="K67" s="25" t="str">
        <f>IF(ISBLANK('Список деталей'!H75),"",VLOOKUP('Список деталей'!H75,обозначениКромки,4,0))</f>
        <v/>
      </c>
      <c r="L67" s="25" t="str">
        <f>IF(ISBLANK('Список деталей'!I75),"",VLOOKUP('Список деталей'!I75,обозначениКромки,4,0))</f>
        <v/>
      </c>
      <c r="M67" s="24" t="str">
        <f>IF(ISBLANK('Список деталей'!Y75),"",('Список деталей'!Y75))</f>
        <v/>
      </c>
      <c r="N67" s="3" t="str">
        <f>IF(ISBLANK('Список деталей'!Z75),"",('Список деталей'!Z75))</f>
        <v/>
      </c>
      <c r="O67" s="3" t="str">
        <f>IF(ISBLANK('Список деталей'!AA75),"",('Список деталей'!AA75))</f>
        <v/>
      </c>
      <c r="P67" s="3" t="str">
        <f>IF(ISBLANK('Список деталей'!AB75),"",('Список деталей'!AB75))</f>
        <v/>
      </c>
      <c r="Q67" s="45">
        <f>VLOOKUP(IF(ISBLANK('Список деталей'!H75)=TRUE,7,'Список деталей'!H75),кромка,2,0)+VLOOKUP(IF(ISBLANK('Список деталей'!I75)=TRUE,7,'Список деталей'!I75),кромка,2,0)+'Список деталей'!C75</f>
        <v>0</v>
      </c>
      <c r="R67" s="45">
        <f>VLOOKUP(IF(ISBLANK('Список деталей'!F75)=TRUE,7,'Список деталей'!F75),кромка,2,0)+VLOOKUP(IF(ISBLANK('Список деталей'!G75)=TRUE,7,'Список деталей'!G75),кромка,2,0)+'Список деталей'!D75</f>
        <v>0</v>
      </c>
      <c r="S67" s="42">
        <f>IF('Список деталей'!H75="",0,1)+IF('Список деталей'!I75="",0,1)+'Список деталей'!C75</f>
        <v>0</v>
      </c>
      <c r="T67" s="42">
        <f>IF('Список деталей'!F75="",0,1)+IF('Список деталей'!G75="",0,1)+'Список деталей'!D75</f>
        <v>0</v>
      </c>
      <c r="U67" s="3" t="str">
        <f>IF(ISBLANK('Список деталей'!K75),"",'Список деталей'!K75)</f>
        <v/>
      </c>
      <c r="V67" s="3" t="str">
        <f>IF(AND('Список деталей'!C75&gt;849,'Список деталей'!D75&gt;849)=TRUE,1*'Список деталей'!E75,"")</f>
        <v/>
      </c>
    </row>
    <row r="68" spans="1:22" x14ac:dyDescent="0.45">
      <c r="A68" s="3">
        <f>IF(ISNUMBER('Список деталей'!A76), 'Список деталей'!A76, "")</f>
        <v>67</v>
      </c>
      <c r="B68" s="30" t="str">
        <f>IF(ISBLANK('Список деталей'!B76),"",'Список деталей'!B76)</f>
        <v/>
      </c>
      <c r="C68" s="3" t="str">
        <f>IF(ISNUMBER('Список деталей'!C76), $W$4,"")</f>
        <v/>
      </c>
      <c r="D68" s="3" t="str">
        <f>IF(ISNUMBER('Список деталей'!C76), 'Список деталей'!$I$4,"")</f>
        <v/>
      </c>
      <c r="E68" s="24" t="str">
        <f>IF(ISNUMBER('Список деталей'!E76), 'Список деталей'!E76, "")</f>
        <v/>
      </c>
      <c r="F68" s="24" t="str">
        <f>IF(ISNUMBER('Список деталей'!C76), 'Список деталей'!C76, "")</f>
        <v/>
      </c>
      <c r="G68" s="24" t="str">
        <f>IF(ISNUMBER('Список деталей'!D76), 'Список деталей'!D76, "")</f>
        <v/>
      </c>
      <c r="H68" s="3" t="str">
        <f t="shared" si="1"/>
        <v xml:space="preserve">    </v>
      </c>
      <c r="I68" s="3" t="str">
        <f>IF(ISBLANK('Список деталей'!F76),"",VLOOKUP('Список деталей'!F76,обозначениКромки,4,0))</f>
        <v/>
      </c>
      <c r="J68" s="25" t="str">
        <f>IF(ISBLANK('Список деталей'!G76),"",VLOOKUP('Список деталей'!G76,обозначениКромки,4,0))</f>
        <v/>
      </c>
      <c r="K68" s="25" t="str">
        <f>IF(ISBLANK('Список деталей'!H76),"",VLOOKUP('Список деталей'!H76,обозначениКромки,4,0))</f>
        <v/>
      </c>
      <c r="L68" s="25" t="str">
        <f>IF(ISBLANK('Список деталей'!I76),"",VLOOKUP('Список деталей'!I76,обозначениКромки,4,0))</f>
        <v/>
      </c>
      <c r="M68" s="24" t="str">
        <f>IF(ISBLANK('Список деталей'!Y76),"",('Список деталей'!Y76))</f>
        <v/>
      </c>
      <c r="N68" s="3" t="str">
        <f>IF(ISBLANK('Список деталей'!Z76),"",('Список деталей'!Z76))</f>
        <v/>
      </c>
      <c r="O68" s="3" t="str">
        <f>IF(ISBLANK('Список деталей'!AA76),"",('Список деталей'!AA76))</f>
        <v/>
      </c>
      <c r="P68" s="3" t="str">
        <f>IF(ISBLANK('Список деталей'!AB76),"",('Список деталей'!AB76))</f>
        <v/>
      </c>
      <c r="Q68" s="45">
        <f>VLOOKUP(IF(ISBLANK('Список деталей'!H76)=TRUE,7,'Список деталей'!H76),кромка,2,0)+VLOOKUP(IF(ISBLANK('Список деталей'!I76)=TRUE,7,'Список деталей'!I76),кромка,2,0)+'Список деталей'!C76</f>
        <v>0</v>
      </c>
      <c r="R68" s="45">
        <f>VLOOKUP(IF(ISBLANK('Список деталей'!F76)=TRUE,7,'Список деталей'!F76),кромка,2,0)+VLOOKUP(IF(ISBLANK('Список деталей'!G76)=TRUE,7,'Список деталей'!G76),кромка,2,0)+'Список деталей'!D76</f>
        <v>0</v>
      </c>
      <c r="S68" s="42">
        <f>IF('Список деталей'!H76="",0,1)+IF('Список деталей'!I76="",0,1)+'Список деталей'!C76</f>
        <v>0</v>
      </c>
      <c r="T68" s="42">
        <f>IF('Список деталей'!F76="",0,1)+IF('Список деталей'!G76="",0,1)+'Список деталей'!D76</f>
        <v>0</v>
      </c>
      <c r="U68" s="3" t="str">
        <f>IF(ISBLANK('Список деталей'!K76),"",'Список деталей'!K76)</f>
        <v/>
      </c>
      <c r="V68" s="3" t="str">
        <f>IF(AND('Список деталей'!C76&gt;849,'Список деталей'!D76&gt;849)=TRUE,1*'Список деталей'!E76,"")</f>
        <v/>
      </c>
    </row>
    <row r="69" spans="1:22" x14ac:dyDescent="0.45">
      <c r="A69" s="3">
        <f>IF(ISNUMBER('Список деталей'!A77), 'Список деталей'!A77, "")</f>
        <v>68</v>
      </c>
      <c r="B69" s="30" t="str">
        <f>IF(ISBLANK('Список деталей'!B77),"",'Список деталей'!B77)</f>
        <v/>
      </c>
      <c r="C69" s="3" t="str">
        <f>IF(ISNUMBER('Список деталей'!C77), $W$4,"")</f>
        <v/>
      </c>
      <c r="D69" s="3" t="str">
        <f>IF(ISNUMBER('Список деталей'!C77), 'Список деталей'!$I$4,"")</f>
        <v/>
      </c>
      <c r="E69" s="24" t="str">
        <f>IF(ISNUMBER('Список деталей'!E77), 'Список деталей'!E77, "")</f>
        <v/>
      </c>
      <c r="F69" s="24" t="str">
        <f>IF(ISNUMBER('Список деталей'!C77), 'Список деталей'!C77, "")</f>
        <v/>
      </c>
      <c r="G69" s="24" t="str">
        <f>IF(ISNUMBER('Список деталей'!D77), 'Список деталей'!D77, "")</f>
        <v/>
      </c>
      <c r="H69" s="3" t="str">
        <f t="shared" si="1"/>
        <v xml:space="preserve">    </v>
      </c>
      <c r="I69" s="3" t="str">
        <f>IF(ISBLANK('Список деталей'!F77),"",VLOOKUP('Список деталей'!F77,обозначениКромки,4,0))</f>
        <v/>
      </c>
      <c r="J69" s="25" t="str">
        <f>IF(ISBLANK('Список деталей'!G77),"",VLOOKUP('Список деталей'!G77,обозначениКромки,4,0))</f>
        <v/>
      </c>
      <c r="K69" s="25" t="str">
        <f>IF(ISBLANK('Список деталей'!H77),"",VLOOKUP('Список деталей'!H77,обозначениКромки,4,0))</f>
        <v/>
      </c>
      <c r="L69" s="25" t="str">
        <f>IF(ISBLANK('Список деталей'!I77),"",VLOOKUP('Список деталей'!I77,обозначениКромки,4,0))</f>
        <v/>
      </c>
      <c r="M69" s="24" t="str">
        <f>IF(ISBLANK('Список деталей'!Y77),"",('Список деталей'!Y77))</f>
        <v/>
      </c>
      <c r="N69" s="3" t="str">
        <f>IF(ISBLANK('Список деталей'!Z77),"",('Список деталей'!Z77))</f>
        <v/>
      </c>
      <c r="O69" s="3" t="str">
        <f>IF(ISBLANK('Список деталей'!AA77),"",('Список деталей'!AA77))</f>
        <v/>
      </c>
      <c r="P69" s="3" t="str">
        <f>IF(ISBLANK('Список деталей'!AB77),"",('Список деталей'!AB77))</f>
        <v/>
      </c>
      <c r="Q69" s="45">
        <f>VLOOKUP(IF(ISBLANK('Список деталей'!H77)=TRUE,7,'Список деталей'!H77),кромка,2,0)+VLOOKUP(IF(ISBLANK('Список деталей'!I77)=TRUE,7,'Список деталей'!I77),кромка,2,0)+'Список деталей'!C77</f>
        <v>0</v>
      </c>
      <c r="R69" s="45">
        <f>VLOOKUP(IF(ISBLANK('Список деталей'!F77)=TRUE,7,'Список деталей'!F77),кромка,2,0)+VLOOKUP(IF(ISBLANK('Список деталей'!G77)=TRUE,7,'Список деталей'!G77),кромка,2,0)+'Список деталей'!D77</f>
        <v>0</v>
      </c>
      <c r="S69" s="42">
        <f>IF('Список деталей'!H77="",0,1)+IF('Список деталей'!I77="",0,1)+'Список деталей'!C77</f>
        <v>0</v>
      </c>
      <c r="T69" s="42">
        <f>IF('Список деталей'!F77="",0,1)+IF('Список деталей'!G77="",0,1)+'Список деталей'!D77</f>
        <v>0</v>
      </c>
      <c r="U69" s="3" t="str">
        <f>IF(ISBLANK('Список деталей'!K77),"",'Список деталей'!K77)</f>
        <v/>
      </c>
      <c r="V69" s="3" t="str">
        <f>IF(AND('Список деталей'!C77&gt;849,'Список деталей'!D77&gt;849)=TRUE,1*'Список деталей'!E77,"")</f>
        <v/>
      </c>
    </row>
    <row r="70" spans="1:22" x14ac:dyDescent="0.45">
      <c r="A70" s="3">
        <f>IF(ISNUMBER('Список деталей'!A78), 'Список деталей'!A78, "")</f>
        <v>69</v>
      </c>
      <c r="B70" s="30" t="str">
        <f>IF(ISBLANK('Список деталей'!B78),"",'Список деталей'!B78)</f>
        <v/>
      </c>
      <c r="C70" s="3" t="str">
        <f>IF(ISNUMBER('Список деталей'!C78), $W$4,"")</f>
        <v/>
      </c>
      <c r="D70" s="3" t="str">
        <f>IF(ISNUMBER('Список деталей'!C78), 'Список деталей'!$I$4,"")</f>
        <v/>
      </c>
      <c r="E70" s="24" t="str">
        <f>IF(ISNUMBER('Список деталей'!E78), 'Список деталей'!E78, "")</f>
        <v/>
      </c>
      <c r="F70" s="24" t="str">
        <f>IF(ISNUMBER('Список деталей'!C78), 'Список деталей'!C78, "")</f>
        <v/>
      </c>
      <c r="G70" s="24" t="str">
        <f>IF(ISNUMBER('Список деталей'!D78), 'Список деталей'!D78, "")</f>
        <v/>
      </c>
      <c r="H70" s="3" t="str">
        <f t="shared" si="1"/>
        <v xml:space="preserve">    </v>
      </c>
      <c r="I70" s="3" t="str">
        <f>IF(ISBLANK('Список деталей'!F78),"",VLOOKUP('Список деталей'!F78,обозначениКромки,4,0))</f>
        <v/>
      </c>
      <c r="J70" s="25" t="str">
        <f>IF(ISBLANK('Список деталей'!G78),"",VLOOKUP('Список деталей'!G78,обозначениКромки,4,0))</f>
        <v/>
      </c>
      <c r="K70" s="25" t="str">
        <f>IF(ISBLANK('Список деталей'!H78),"",VLOOKUP('Список деталей'!H78,обозначениКромки,4,0))</f>
        <v/>
      </c>
      <c r="L70" s="25" t="str">
        <f>IF(ISBLANK('Список деталей'!I78),"",VLOOKUP('Список деталей'!I78,обозначениКромки,4,0))</f>
        <v/>
      </c>
      <c r="M70" s="24" t="str">
        <f>IF(ISBLANK('Список деталей'!Y78),"",('Список деталей'!Y78))</f>
        <v/>
      </c>
      <c r="N70" s="3" t="str">
        <f>IF(ISBLANK('Список деталей'!Z78),"",('Список деталей'!Z78))</f>
        <v/>
      </c>
      <c r="O70" s="3" t="str">
        <f>IF(ISBLANK('Список деталей'!AA78),"",('Список деталей'!AA78))</f>
        <v/>
      </c>
      <c r="P70" s="3" t="str">
        <f>IF(ISBLANK('Список деталей'!AB78),"",('Список деталей'!AB78))</f>
        <v/>
      </c>
      <c r="Q70" s="45">
        <f>VLOOKUP(IF(ISBLANK('Список деталей'!H78)=TRUE,7,'Список деталей'!H78),кромка,2,0)+VLOOKUP(IF(ISBLANK('Список деталей'!I78)=TRUE,7,'Список деталей'!I78),кромка,2,0)+'Список деталей'!C78</f>
        <v>0</v>
      </c>
      <c r="R70" s="45">
        <f>VLOOKUP(IF(ISBLANK('Список деталей'!F78)=TRUE,7,'Список деталей'!F78),кромка,2,0)+VLOOKUP(IF(ISBLANK('Список деталей'!G78)=TRUE,7,'Список деталей'!G78),кромка,2,0)+'Список деталей'!D78</f>
        <v>0</v>
      </c>
      <c r="S70" s="42">
        <f>IF('Список деталей'!H78="",0,1)+IF('Список деталей'!I78="",0,1)+'Список деталей'!C78</f>
        <v>0</v>
      </c>
      <c r="T70" s="42">
        <f>IF('Список деталей'!F78="",0,1)+IF('Список деталей'!G78="",0,1)+'Список деталей'!D78</f>
        <v>0</v>
      </c>
      <c r="U70" s="3" t="str">
        <f>IF(ISBLANK('Список деталей'!K78),"",'Список деталей'!K78)</f>
        <v/>
      </c>
      <c r="V70" s="3" t="str">
        <f>IF(AND('Список деталей'!C78&gt;849,'Список деталей'!D78&gt;849)=TRUE,1*'Список деталей'!E78,"")</f>
        <v/>
      </c>
    </row>
    <row r="71" spans="1:22" x14ac:dyDescent="0.45">
      <c r="A71" s="3">
        <f>IF(ISNUMBER('Список деталей'!A79), 'Список деталей'!A79, "")</f>
        <v>70</v>
      </c>
      <c r="B71" s="30" t="str">
        <f>IF(ISBLANK('Список деталей'!B79),"",'Список деталей'!B79)</f>
        <v/>
      </c>
      <c r="C71" s="3" t="str">
        <f>IF(ISNUMBER('Список деталей'!C79), $W$4,"")</f>
        <v/>
      </c>
      <c r="D71" s="3" t="str">
        <f>IF(ISNUMBER('Список деталей'!C79), 'Список деталей'!$I$4,"")</f>
        <v/>
      </c>
      <c r="E71" s="24" t="str">
        <f>IF(ISNUMBER('Список деталей'!E79), 'Список деталей'!E79, "")</f>
        <v/>
      </c>
      <c r="F71" s="24" t="str">
        <f>IF(ISNUMBER('Список деталей'!C79), 'Список деталей'!C79, "")</f>
        <v/>
      </c>
      <c r="G71" s="24" t="str">
        <f>IF(ISNUMBER('Список деталей'!D79), 'Список деталей'!D79, "")</f>
        <v/>
      </c>
      <c r="H71" s="3" t="str">
        <f t="shared" si="1"/>
        <v xml:space="preserve">    </v>
      </c>
      <c r="I71" s="3" t="str">
        <f>IF(ISBLANK('Список деталей'!F79),"",VLOOKUP('Список деталей'!F79,обозначениКромки,4,0))</f>
        <v/>
      </c>
      <c r="J71" s="25" t="str">
        <f>IF(ISBLANK('Список деталей'!G79),"",VLOOKUP('Список деталей'!G79,обозначениКромки,4,0))</f>
        <v/>
      </c>
      <c r="K71" s="25" t="str">
        <f>IF(ISBLANK('Список деталей'!H79),"",VLOOKUP('Список деталей'!H79,обозначениКромки,4,0))</f>
        <v/>
      </c>
      <c r="L71" s="25" t="str">
        <f>IF(ISBLANK('Список деталей'!I79),"",VLOOKUP('Список деталей'!I79,обозначениКромки,4,0))</f>
        <v/>
      </c>
      <c r="M71" s="24" t="str">
        <f>IF(ISBLANK('Список деталей'!Y79),"",('Список деталей'!Y79))</f>
        <v/>
      </c>
      <c r="N71" s="3" t="str">
        <f>IF(ISBLANK('Список деталей'!Z79),"",('Список деталей'!Z79))</f>
        <v/>
      </c>
      <c r="O71" s="3" t="str">
        <f>IF(ISBLANK('Список деталей'!AA79),"",('Список деталей'!AA79))</f>
        <v/>
      </c>
      <c r="P71" s="3" t="str">
        <f>IF(ISBLANK('Список деталей'!AB79),"",('Список деталей'!AB79))</f>
        <v/>
      </c>
      <c r="Q71" s="45">
        <f>VLOOKUP(IF(ISBLANK('Список деталей'!H79)=TRUE,7,'Список деталей'!H79),кромка,2,0)+VLOOKUP(IF(ISBLANK('Список деталей'!I79)=TRUE,7,'Список деталей'!I79),кромка,2,0)+'Список деталей'!C79</f>
        <v>0</v>
      </c>
      <c r="R71" s="45">
        <f>VLOOKUP(IF(ISBLANK('Список деталей'!F79)=TRUE,7,'Список деталей'!F79),кромка,2,0)+VLOOKUP(IF(ISBLANK('Список деталей'!G79)=TRUE,7,'Список деталей'!G79),кромка,2,0)+'Список деталей'!D79</f>
        <v>0</v>
      </c>
      <c r="S71" s="42">
        <f>IF('Список деталей'!H79="",0,1)+IF('Список деталей'!I79="",0,1)+'Список деталей'!C79</f>
        <v>0</v>
      </c>
      <c r="T71" s="42">
        <f>IF('Список деталей'!F79="",0,1)+IF('Список деталей'!G79="",0,1)+'Список деталей'!D79</f>
        <v>0</v>
      </c>
      <c r="U71" s="3" t="str">
        <f>IF(ISBLANK('Список деталей'!K79),"",'Список деталей'!K79)</f>
        <v/>
      </c>
      <c r="V71" s="3" t="str">
        <f>IF(AND('Список деталей'!C79&gt;849,'Список деталей'!D79&gt;849)=TRUE,1*'Список деталей'!E79,"")</f>
        <v/>
      </c>
    </row>
    <row r="72" spans="1:22" x14ac:dyDescent="0.45">
      <c r="A72" s="3">
        <f>IF(ISNUMBER('Список деталей'!A80), 'Список деталей'!A80, "")</f>
        <v>71</v>
      </c>
      <c r="B72" s="30" t="str">
        <f>IF(ISBLANK('Список деталей'!B80),"",'Список деталей'!B80)</f>
        <v/>
      </c>
      <c r="C72" s="3" t="str">
        <f>IF(ISNUMBER('Список деталей'!C80), $W$4,"")</f>
        <v/>
      </c>
      <c r="D72" s="3" t="str">
        <f>IF(ISNUMBER('Список деталей'!C80), 'Список деталей'!$I$4,"")</f>
        <v/>
      </c>
      <c r="E72" s="24" t="str">
        <f>IF(ISNUMBER('Список деталей'!E80), 'Список деталей'!E80, "")</f>
        <v/>
      </c>
      <c r="F72" s="24" t="str">
        <f>IF(ISNUMBER('Список деталей'!C80), 'Список деталей'!C80, "")</f>
        <v/>
      </c>
      <c r="G72" s="24" t="str">
        <f>IF(ISNUMBER('Список деталей'!D80), 'Список деталей'!D80, "")</f>
        <v/>
      </c>
      <c r="H72" s="3" t="str">
        <f t="shared" si="1"/>
        <v xml:space="preserve">    </v>
      </c>
      <c r="I72" s="3" t="str">
        <f>IF(ISBLANK('Список деталей'!F80),"",VLOOKUP('Список деталей'!F80,обозначениКромки,4,0))</f>
        <v/>
      </c>
      <c r="J72" s="25" t="str">
        <f>IF(ISBLANK('Список деталей'!G80),"",VLOOKUP('Список деталей'!G80,обозначениКромки,4,0))</f>
        <v/>
      </c>
      <c r="K72" s="25" t="str">
        <f>IF(ISBLANK('Список деталей'!H80),"",VLOOKUP('Список деталей'!H80,обозначениКромки,4,0))</f>
        <v/>
      </c>
      <c r="L72" s="25" t="str">
        <f>IF(ISBLANK('Список деталей'!I80),"",VLOOKUP('Список деталей'!I80,обозначениКромки,4,0))</f>
        <v/>
      </c>
      <c r="M72" s="24" t="str">
        <f>IF(ISBLANK('Список деталей'!Y80),"",('Список деталей'!Y80))</f>
        <v/>
      </c>
      <c r="N72" s="3" t="str">
        <f>IF(ISBLANK('Список деталей'!Z80),"",('Список деталей'!Z80))</f>
        <v/>
      </c>
      <c r="O72" s="3" t="str">
        <f>IF(ISBLANK('Список деталей'!AA80),"",('Список деталей'!AA80))</f>
        <v/>
      </c>
      <c r="P72" s="3" t="str">
        <f>IF(ISBLANK('Список деталей'!AB80),"",('Список деталей'!AB80))</f>
        <v/>
      </c>
      <c r="Q72" s="45">
        <f>VLOOKUP(IF(ISBLANK('Список деталей'!H80)=TRUE,7,'Список деталей'!H80),кромка,2,0)+VLOOKUP(IF(ISBLANK('Список деталей'!I80)=TRUE,7,'Список деталей'!I80),кромка,2,0)+'Список деталей'!C80</f>
        <v>0</v>
      </c>
      <c r="R72" s="45">
        <f>VLOOKUP(IF(ISBLANK('Список деталей'!F80)=TRUE,7,'Список деталей'!F80),кромка,2,0)+VLOOKUP(IF(ISBLANK('Список деталей'!G80)=TRUE,7,'Список деталей'!G80),кромка,2,0)+'Список деталей'!D80</f>
        <v>0</v>
      </c>
      <c r="S72" s="42">
        <f>IF('Список деталей'!H80="",0,1)+IF('Список деталей'!I80="",0,1)+'Список деталей'!C80</f>
        <v>0</v>
      </c>
      <c r="T72" s="42">
        <f>IF('Список деталей'!F80="",0,1)+IF('Список деталей'!G80="",0,1)+'Список деталей'!D80</f>
        <v>0</v>
      </c>
      <c r="U72" s="3" t="str">
        <f>IF(ISBLANK('Список деталей'!K80),"",'Список деталей'!K80)</f>
        <v/>
      </c>
      <c r="V72" s="3" t="str">
        <f>IF(AND('Список деталей'!C80&gt;849,'Список деталей'!D80&gt;849)=TRUE,1*'Список деталей'!E80,"")</f>
        <v/>
      </c>
    </row>
    <row r="73" spans="1:22" x14ac:dyDescent="0.45">
      <c r="A73" s="3">
        <f>IF(ISNUMBER('Список деталей'!A81), 'Список деталей'!A81, "")</f>
        <v>72</v>
      </c>
      <c r="B73" s="30" t="str">
        <f>IF(ISBLANK('Список деталей'!B81),"",'Список деталей'!B81)</f>
        <v/>
      </c>
      <c r="C73" s="3" t="str">
        <f>IF(ISNUMBER('Список деталей'!C81), $W$4,"")</f>
        <v/>
      </c>
      <c r="D73" s="3" t="str">
        <f>IF(ISNUMBER('Список деталей'!C81), 'Список деталей'!$I$4,"")</f>
        <v/>
      </c>
      <c r="E73" s="24" t="str">
        <f>IF(ISNUMBER('Список деталей'!E81), 'Список деталей'!E81, "")</f>
        <v/>
      </c>
      <c r="F73" s="24" t="str">
        <f>IF(ISNUMBER('Список деталей'!C81), 'Список деталей'!C81, "")</f>
        <v/>
      </c>
      <c r="G73" s="24" t="str">
        <f>IF(ISNUMBER('Список деталей'!D81), 'Список деталей'!D81, "")</f>
        <v/>
      </c>
      <c r="H73" s="3" t="str">
        <f t="shared" si="1"/>
        <v xml:space="preserve">    </v>
      </c>
      <c r="I73" s="3" t="str">
        <f>IF(ISBLANK('Список деталей'!F81),"",VLOOKUP('Список деталей'!F81,обозначениКромки,4,0))</f>
        <v/>
      </c>
      <c r="J73" s="25" t="str">
        <f>IF(ISBLANK('Список деталей'!G81),"",VLOOKUP('Список деталей'!G81,обозначениКромки,4,0))</f>
        <v/>
      </c>
      <c r="K73" s="25" t="str">
        <f>IF(ISBLANK('Список деталей'!H81),"",VLOOKUP('Список деталей'!H81,обозначениКромки,4,0))</f>
        <v/>
      </c>
      <c r="L73" s="25" t="str">
        <f>IF(ISBLANK('Список деталей'!I81),"",VLOOKUP('Список деталей'!I81,обозначениКромки,4,0))</f>
        <v/>
      </c>
      <c r="M73" s="24" t="str">
        <f>IF(ISBLANK('Список деталей'!Y81),"",('Список деталей'!Y81))</f>
        <v/>
      </c>
      <c r="N73" s="3" t="str">
        <f>IF(ISBLANK('Список деталей'!Z81),"",('Список деталей'!Z81))</f>
        <v/>
      </c>
      <c r="O73" s="3" t="str">
        <f>IF(ISBLANK('Список деталей'!AA81),"",('Список деталей'!AA81))</f>
        <v/>
      </c>
      <c r="P73" s="3" t="str">
        <f>IF(ISBLANK('Список деталей'!AB81),"",('Список деталей'!AB81))</f>
        <v/>
      </c>
      <c r="Q73" s="45">
        <f>VLOOKUP(IF(ISBLANK('Список деталей'!H81)=TRUE,7,'Список деталей'!H81),кромка,2,0)+VLOOKUP(IF(ISBLANK('Список деталей'!I81)=TRUE,7,'Список деталей'!I81),кромка,2,0)+'Список деталей'!C81</f>
        <v>0</v>
      </c>
      <c r="R73" s="45">
        <f>VLOOKUP(IF(ISBLANK('Список деталей'!F81)=TRUE,7,'Список деталей'!F81),кромка,2,0)+VLOOKUP(IF(ISBLANK('Список деталей'!G81)=TRUE,7,'Список деталей'!G81),кромка,2,0)+'Список деталей'!D81</f>
        <v>0</v>
      </c>
      <c r="S73" s="42">
        <f>IF('Список деталей'!H81="",0,1)+IF('Список деталей'!I81="",0,1)+'Список деталей'!C81</f>
        <v>0</v>
      </c>
      <c r="T73" s="42">
        <f>IF('Список деталей'!F81="",0,1)+IF('Список деталей'!G81="",0,1)+'Список деталей'!D81</f>
        <v>0</v>
      </c>
      <c r="U73" s="3" t="str">
        <f>IF(ISBLANK('Список деталей'!K81),"",'Список деталей'!K81)</f>
        <v/>
      </c>
      <c r="V73" s="3" t="str">
        <f>IF(AND('Список деталей'!C81&gt;849,'Список деталей'!D81&gt;849)=TRUE,1*'Список деталей'!E81,"")</f>
        <v/>
      </c>
    </row>
    <row r="74" spans="1:22" x14ac:dyDescent="0.45">
      <c r="A74" s="3">
        <f>IF(ISNUMBER('Список деталей'!A82), 'Список деталей'!A82, "")</f>
        <v>73</v>
      </c>
      <c r="B74" s="30" t="str">
        <f>IF(ISBLANK('Список деталей'!B82),"",'Список деталей'!B82)</f>
        <v/>
      </c>
      <c r="C74" s="3" t="str">
        <f>IF(ISNUMBER('Список деталей'!C82), $W$4,"")</f>
        <v/>
      </c>
      <c r="D74" s="3" t="str">
        <f>IF(ISNUMBER('Список деталей'!C82), 'Список деталей'!$I$4,"")</f>
        <v/>
      </c>
      <c r="E74" s="24" t="str">
        <f>IF(ISNUMBER('Список деталей'!E82), 'Список деталей'!E82, "")</f>
        <v/>
      </c>
      <c r="F74" s="24" t="str">
        <f>IF(ISNUMBER('Список деталей'!C82), 'Список деталей'!C82, "")</f>
        <v/>
      </c>
      <c r="G74" s="24" t="str">
        <f>IF(ISNUMBER('Список деталей'!D82), 'Список деталей'!D82, "")</f>
        <v/>
      </c>
      <c r="H74" s="3" t="str">
        <f t="shared" si="1"/>
        <v xml:space="preserve">    </v>
      </c>
      <c r="I74" s="3" t="str">
        <f>IF(ISBLANK('Список деталей'!F82),"",VLOOKUP('Список деталей'!F82,обозначениКромки,4,0))</f>
        <v/>
      </c>
      <c r="J74" s="25" t="str">
        <f>IF(ISBLANK('Список деталей'!G82),"",VLOOKUP('Список деталей'!G82,обозначениКромки,4,0))</f>
        <v/>
      </c>
      <c r="K74" s="25" t="str">
        <f>IF(ISBLANK('Список деталей'!H82),"",VLOOKUP('Список деталей'!H82,обозначениКромки,4,0))</f>
        <v/>
      </c>
      <c r="L74" s="25" t="str">
        <f>IF(ISBLANK('Список деталей'!I82),"",VLOOKUP('Список деталей'!I82,обозначениКромки,4,0))</f>
        <v/>
      </c>
      <c r="M74" s="24" t="str">
        <f>IF(ISBLANK('Список деталей'!Y82),"",('Список деталей'!Y82))</f>
        <v/>
      </c>
      <c r="N74" s="3" t="str">
        <f>IF(ISBLANK('Список деталей'!Z82),"",('Список деталей'!Z82))</f>
        <v/>
      </c>
      <c r="O74" s="3" t="str">
        <f>IF(ISBLANK('Список деталей'!AA82),"",('Список деталей'!AA82))</f>
        <v/>
      </c>
      <c r="P74" s="3" t="str">
        <f>IF(ISBLANK('Список деталей'!AB82),"",('Список деталей'!AB82))</f>
        <v/>
      </c>
      <c r="Q74" s="45">
        <f>VLOOKUP(IF(ISBLANK('Список деталей'!H82)=TRUE,7,'Список деталей'!H82),кромка,2,0)+VLOOKUP(IF(ISBLANK('Список деталей'!I82)=TRUE,7,'Список деталей'!I82),кромка,2,0)+'Список деталей'!C82</f>
        <v>0</v>
      </c>
      <c r="R74" s="45">
        <f>VLOOKUP(IF(ISBLANK('Список деталей'!F82)=TRUE,7,'Список деталей'!F82),кромка,2,0)+VLOOKUP(IF(ISBLANK('Список деталей'!G82)=TRUE,7,'Список деталей'!G82),кромка,2,0)+'Список деталей'!D82</f>
        <v>0</v>
      </c>
      <c r="S74" s="42">
        <f>IF('Список деталей'!H82="",0,1)+IF('Список деталей'!I82="",0,1)+'Список деталей'!C82</f>
        <v>0</v>
      </c>
      <c r="T74" s="42">
        <f>IF('Список деталей'!F82="",0,1)+IF('Список деталей'!G82="",0,1)+'Список деталей'!D82</f>
        <v>0</v>
      </c>
      <c r="U74" s="3" t="str">
        <f>IF(ISBLANK('Список деталей'!K82),"",'Список деталей'!K82)</f>
        <v/>
      </c>
      <c r="V74" s="3" t="str">
        <f>IF(AND('Список деталей'!C82&gt;849,'Список деталей'!D82&gt;849)=TRUE,1*'Список деталей'!E82,"")</f>
        <v/>
      </c>
    </row>
    <row r="75" spans="1:22" x14ac:dyDescent="0.45">
      <c r="A75" s="3">
        <f>IF(ISNUMBER('Список деталей'!A83), 'Список деталей'!A83, "")</f>
        <v>74</v>
      </c>
      <c r="B75" s="30" t="str">
        <f>IF(ISBLANK('Список деталей'!B83),"",'Список деталей'!B83)</f>
        <v/>
      </c>
      <c r="C75" s="3" t="str">
        <f>IF(ISNUMBER('Список деталей'!C83), $W$4,"")</f>
        <v/>
      </c>
      <c r="D75" s="3" t="str">
        <f>IF(ISNUMBER('Список деталей'!C83), 'Список деталей'!$I$4,"")</f>
        <v/>
      </c>
      <c r="E75" s="24" t="str">
        <f>IF(ISNUMBER('Список деталей'!E83), 'Список деталей'!E83, "")</f>
        <v/>
      </c>
      <c r="F75" s="24" t="str">
        <f>IF(ISNUMBER('Список деталей'!C83), 'Список деталей'!C83, "")</f>
        <v/>
      </c>
      <c r="G75" s="24" t="str">
        <f>IF(ISNUMBER('Список деталей'!D83), 'Список деталей'!D83, "")</f>
        <v/>
      </c>
      <c r="H75" s="3" t="str">
        <f t="shared" si="1"/>
        <v xml:space="preserve">    </v>
      </c>
      <c r="I75" s="3" t="str">
        <f>IF(ISBLANK('Список деталей'!F83),"",VLOOKUP('Список деталей'!F83,обозначениКромки,4,0))</f>
        <v/>
      </c>
      <c r="J75" s="25" t="str">
        <f>IF(ISBLANK('Список деталей'!G83),"",VLOOKUP('Список деталей'!G83,обозначениКромки,4,0))</f>
        <v/>
      </c>
      <c r="K75" s="25" t="str">
        <f>IF(ISBLANK('Список деталей'!H83),"",VLOOKUP('Список деталей'!H83,обозначениКромки,4,0))</f>
        <v/>
      </c>
      <c r="L75" s="25" t="str">
        <f>IF(ISBLANK('Список деталей'!I83),"",VLOOKUP('Список деталей'!I83,обозначениКромки,4,0))</f>
        <v/>
      </c>
      <c r="M75" s="24" t="str">
        <f>IF(ISBLANK('Список деталей'!Y83),"",('Список деталей'!Y83))</f>
        <v/>
      </c>
      <c r="N75" s="3" t="str">
        <f>IF(ISBLANK('Список деталей'!Z83),"",('Список деталей'!Z83))</f>
        <v/>
      </c>
      <c r="O75" s="3" t="str">
        <f>IF(ISBLANK('Список деталей'!AA83),"",('Список деталей'!AA83))</f>
        <v/>
      </c>
      <c r="P75" s="3" t="str">
        <f>IF(ISBLANK('Список деталей'!AB83),"",('Список деталей'!AB83))</f>
        <v/>
      </c>
      <c r="Q75" s="45">
        <f>VLOOKUP(IF(ISBLANK('Список деталей'!H83)=TRUE,7,'Список деталей'!H83),кромка,2,0)+VLOOKUP(IF(ISBLANK('Список деталей'!I83)=TRUE,7,'Список деталей'!I83),кромка,2,0)+'Список деталей'!C83</f>
        <v>0</v>
      </c>
      <c r="R75" s="45">
        <f>VLOOKUP(IF(ISBLANK('Список деталей'!F83)=TRUE,7,'Список деталей'!F83),кромка,2,0)+VLOOKUP(IF(ISBLANK('Список деталей'!G83)=TRUE,7,'Список деталей'!G83),кромка,2,0)+'Список деталей'!D83</f>
        <v>0</v>
      </c>
      <c r="S75" s="42">
        <f>IF('Список деталей'!H83="",0,1)+IF('Список деталей'!I83="",0,1)+'Список деталей'!C83</f>
        <v>0</v>
      </c>
      <c r="T75" s="42">
        <f>IF('Список деталей'!F83="",0,1)+IF('Список деталей'!G83="",0,1)+'Список деталей'!D83</f>
        <v>0</v>
      </c>
      <c r="U75" s="3" t="str">
        <f>IF(ISBLANK('Список деталей'!K83),"",'Список деталей'!K83)</f>
        <v/>
      </c>
      <c r="V75" s="3" t="str">
        <f>IF(AND('Список деталей'!C83&gt;849,'Список деталей'!D83&gt;849)=TRUE,1*'Список деталей'!E83,"")</f>
        <v/>
      </c>
    </row>
    <row r="76" spans="1:22" x14ac:dyDescent="0.45">
      <c r="A76" s="3">
        <f>IF(ISNUMBER('Список деталей'!A84), 'Список деталей'!A84, "")</f>
        <v>75</v>
      </c>
      <c r="B76" s="30" t="str">
        <f>IF(ISBLANK('Список деталей'!B84),"",'Список деталей'!B84)</f>
        <v/>
      </c>
      <c r="C76" s="3" t="str">
        <f>IF(ISNUMBER('Список деталей'!C84), $W$4,"")</f>
        <v/>
      </c>
      <c r="D76" s="3" t="str">
        <f>IF(ISNUMBER('Список деталей'!C84), 'Список деталей'!$I$4,"")</f>
        <v/>
      </c>
      <c r="E76" s="24" t="str">
        <f>IF(ISNUMBER('Список деталей'!E84), 'Список деталей'!E84, "")</f>
        <v/>
      </c>
      <c r="F76" s="24" t="str">
        <f>IF(ISNUMBER('Список деталей'!C84), 'Список деталей'!C84, "")</f>
        <v/>
      </c>
      <c r="G76" s="24" t="str">
        <f>IF(ISNUMBER('Список деталей'!D84), 'Список деталей'!D84, "")</f>
        <v/>
      </c>
      <c r="H76" s="3" t="str">
        <f t="shared" si="1"/>
        <v xml:space="preserve">    </v>
      </c>
      <c r="I76" s="3" t="str">
        <f>IF(ISBLANK('Список деталей'!F84),"",VLOOKUP('Список деталей'!F84,обозначениКромки,4,0))</f>
        <v/>
      </c>
      <c r="J76" s="25" t="str">
        <f>IF(ISBLANK('Список деталей'!G84),"",VLOOKUP('Список деталей'!G84,обозначениКромки,4,0))</f>
        <v/>
      </c>
      <c r="K76" s="25" t="str">
        <f>IF(ISBLANK('Список деталей'!H84),"",VLOOKUP('Список деталей'!H84,обозначениКромки,4,0))</f>
        <v/>
      </c>
      <c r="L76" s="25" t="str">
        <f>IF(ISBLANK('Список деталей'!I84),"",VLOOKUP('Список деталей'!I84,обозначениКромки,4,0))</f>
        <v/>
      </c>
      <c r="M76" s="24" t="str">
        <f>IF(ISBLANK('Список деталей'!Y84),"",('Список деталей'!Y84))</f>
        <v/>
      </c>
      <c r="N76" s="3" t="str">
        <f>IF(ISBLANK('Список деталей'!Z84),"",('Список деталей'!Z84))</f>
        <v/>
      </c>
      <c r="O76" s="3" t="str">
        <f>IF(ISBLANK('Список деталей'!AA84),"",('Список деталей'!AA84))</f>
        <v/>
      </c>
      <c r="P76" s="3" t="str">
        <f>IF(ISBLANK('Список деталей'!AB84),"",('Список деталей'!AB84))</f>
        <v/>
      </c>
      <c r="Q76" s="45">
        <f>VLOOKUP(IF(ISBLANK('Список деталей'!H84)=TRUE,7,'Список деталей'!H84),кромка,2,0)+VLOOKUP(IF(ISBLANK('Список деталей'!I84)=TRUE,7,'Список деталей'!I84),кромка,2,0)+'Список деталей'!C84</f>
        <v>0</v>
      </c>
      <c r="R76" s="45">
        <f>VLOOKUP(IF(ISBLANK('Список деталей'!F84)=TRUE,7,'Список деталей'!F84),кромка,2,0)+VLOOKUP(IF(ISBLANK('Список деталей'!G84)=TRUE,7,'Список деталей'!G84),кромка,2,0)+'Список деталей'!D84</f>
        <v>0</v>
      </c>
      <c r="S76" s="42">
        <f>IF('Список деталей'!H84="",0,1)+IF('Список деталей'!I84="",0,1)+'Список деталей'!C84</f>
        <v>0</v>
      </c>
      <c r="T76" s="42">
        <f>IF('Список деталей'!F84="",0,1)+IF('Список деталей'!G84="",0,1)+'Список деталей'!D84</f>
        <v>0</v>
      </c>
      <c r="U76" s="3" t="str">
        <f>IF(ISBLANK('Список деталей'!K84),"",'Список деталей'!K84)</f>
        <v/>
      </c>
      <c r="V76" s="3" t="str">
        <f>IF(AND('Список деталей'!C84&gt;849,'Список деталей'!D84&gt;849)=TRUE,1*'Список деталей'!E84,"")</f>
        <v/>
      </c>
    </row>
    <row r="77" spans="1:22" x14ac:dyDescent="0.45">
      <c r="A77" s="3">
        <f>IF(ISNUMBER('Список деталей'!A85), 'Список деталей'!A85, "")</f>
        <v>76</v>
      </c>
      <c r="B77" s="30" t="str">
        <f>IF(ISBLANK('Список деталей'!B85),"",'Список деталей'!B85)</f>
        <v/>
      </c>
      <c r="C77" s="3" t="str">
        <f>IF(ISNUMBER('Список деталей'!C85), $W$4,"")</f>
        <v/>
      </c>
      <c r="D77" s="3" t="str">
        <f>IF(ISNUMBER('Список деталей'!C85), 'Список деталей'!$I$4,"")</f>
        <v/>
      </c>
      <c r="E77" s="24" t="str">
        <f>IF(ISNUMBER('Список деталей'!E85), 'Список деталей'!E85, "")</f>
        <v/>
      </c>
      <c r="F77" s="24" t="str">
        <f>IF(ISNUMBER('Список деталей'!C85), 'Список деталей'!C85, "")</f>
        <v/>
      </c>
      <c r="G77" s="24" t="str">
        <f>IF(ISNUMBER('Список деталей'!D85), 'Список деталей'!D85, "")</f>
        <v/>
      </c>
      <c r="H77" s="3" t="str">
        <f t="shared" si="1"/>
        <v xml:space="preserve">    </v>
      </c>
      <c r="I77" s="3" t="str">
        <f>IF(ISBLANK('Список деталей'!F85),"",VLOOKUP('Список деталей'!F85,обозначениКромки,4,0))</f>
        <v/>
      </c>
      <c r="J77" s="25" t="str">
        <f>IF(ISBLANK('Список деталей'!G85),"",VLOOKUP('Список деталей'!G85,обозначениКромки,4,0))</f>
        <v/>
      </c>
      <c r="K77" s="25" t="str">
        <f>IF(ISBLANK('Список деталей'!H85),"",VLOOKUP('Список деталей'!H85,обозначениКромки,4,0))</f>
        <v/>
      </c>
      <c r="L77" s="25" t="str">
        <f>IF(ISBLANK('Список деталей'!I85),"",VLOOKUP('Список деталей'!I85,обозначениКромки,4,0))</f>
        <v/>
      </c>
      <c r="M77" s="24" t="str">
        <f>IF(ISBLANK('Список деталей'!Y85),"",('Список деталей'!Y85))</f>
        <v/>
      </c>
      <c r="N77" s="3" t="str">
        <f>IF(ISBLANK('Список деталей'!Z85),"",('Список деталей'!Z85))</f>
        <v/>
      </c>
      <c r="O77" s="3" t="str">
        <f>IF(ISBLANK('Список деталей'!AA85),"",('Список деталей'!AA85))</f>
        <v/>
      </c>
      <c r="P77" s="3" t="str">
        <f>IF(ISBLANK('Список деталей'!AB85),"",('Список деталей'!AB85))</f>
        <v/>
      </c>
      <c r="Q77" s="45">
        <f>VLOOKUP(IF(ISBLANK('Список деталей'!H85)=TRUE,7,'Список деталей'!H85),кромка,2,0)+VLOOKUP(IF(ISBLANK('Список деталей'!I85)=TRUE,7,'Список деталей'!I85),кромка,2,0)+'Список деталей'!C85</f>
        <v>0</v>
      </c>
      <c r="R77" s="45">
        <f>VLOOKUP(IF(ISBLANK('Список деталей'!F85)=TRUE,7,'Список деталей'!F85),кромка,2,0)+VLOOKUP(IF(ISBLANK('Список деталей'!G85)=TRUE,7,'Список деталей'!G85),кромка,2,0)+'Список деталей'!D85</f>
        <v>0</v>
      </c>
      <c r="S77" s="42">
        <f>IF('Список деталей'!H85="",0,1)+IF('Список деталей'!I85="",0,1)+'Список деталей'!C85</f>
        <v>0</v>
      </c>
      <c r="T77" s="42">
        <f>IF('Список деталей'!F85="",0,1)+IF('Список деталей'!G85="",0,1)+'Список деталей'!D85</f>
        <v>0</v>
      </c>
      <c r="U77" s="3" t="str">
        <f>IF(ISBLANK('Список деталей'!K85),"",'Список деталей'!K85)</f>
        <v/>
      </c>
      <c r="V77" s="3" t="str">
        <f>IF(AND('Список деталей'!C85&gt;849,'Список деталей'!D85&gt;849)=TRUE,1*'Список деталей'!E85,"")</f>
        <v/>
      </c>
    </row>
    <row r="78" spans="1:22" x14ac:dyDescent="0.45">
      <c r="A78" s="3">
        <f>IF(ISNUMBER('Список деталей'!A86), 'Список деталей'!A86, "")</f>
        <v>77</v>
      </c>
      <c r="B78" s="30" t="str">
        <f>IF(ISBLANK('Список деталей'!B86),"",'Список деталей'!B86)</f>
        <v/>
      </c>
      <c r="C78" s="3" t="str">
        <f>IF(ISNUMBER('Список деталей'!C86), $W$4,"")</f>
        <v/>
      </c>
      <c r="D78" s="3" t="str">
        <f>IF(ISNUMBER('Список деталей'!C86), 'Список деталей'!$I$4,"")</f>
        <v/>
      </c>
      <c r="E78" s="24" t="str">
        <f>IF(ISNUMBER('Список деталей'!E86), 'Список деталей'!E86, "")</f>
        <v/>
      </c>
      <c r="F78" s="24" t="str">
        <f>IF(ISNUMBER('Список деталей'!C86), 'Список деталей'!C86, "")</f>
        <v/>
      </c>
      <c r="G78" s="24" t="str">
        <f>IF(ISNUMBER('Список деталей'!D86), 'Список деталей'!D86, "")</f>
        <v/>
      </c>
      <c r="H78" s="3" t="str">
        <f t="shared" si="1"/>
        <v xml:space="preserve">    </v>
      </c>
      <c r="I78" s="3" t="str">
        <f>IF(ISBLANK('Список деталей'!F86),"",VLOOKUP('Список деталей'!F86,обозначениКромки,4,0))</f>
        <v/>
      </c>
      <c r="J78" s="25" t="str">
        <f>IF(ISBLANK('Список деталей'!G86),"",VLOOKUP('Список деталей'!G86,обозначениКромки,4,0))</f>
        <v/>
      </c>
      <c r="K78" s="25" t="str">
        <f>IF(ISBLANK('Список деталей'!H86),"",VLOOKUP('Список деталей'!H86,обозначениКромки,4,0))</f>
        <v/>
      </c>
      <c r="L78" s="25" t="str">
        <f>IF(ISBLANK('Список деталей'!I86),"",VLOOKUP('Список деталей'!I86,обозначениКромки,4,0))</f>
        <v/>
      </c>
      <c r="M78" s="24" t="str">
        <f>IF(ISBLANK('Список деталей'!Y86),"",('Список деталей'!Y86))</f>
        <v/>
      </c>
      <c r="N78" s="3" t="str">
        <f>IF(ISBLANK('Список деталей'!Z86),"",('Список деталей'!Z86))</f>
        <v/>
      </c>
      <c r="O78" s="3" t="str">
        <f>IF(ISBLANK('Список деталей'!AA86),"",('Список деталей'!AA86))</f>
        <v/>
      </c>
      <c r="P78" s="3" t="str">
        <f>IF(ISBLANK('Список деталей'!AB86),"",('Список деталей'!AB86))</f>
        <v/>
      </c>
      <c r="Q78" s="45">
        <f>VLOOKUP(IF(ISBLANK('Список деталей'!H86)=TRUE,7,'Список деталей'!H86),кромка,2,0)+VLOOKUP(IF(ISBLANK('Список деталей'!I86)=TRUE,7,'Список деталей'!I86),кромка,2,0)+'Список деталей'!C86</f>
        <v>0</v>
      </c>
      <c r="R78" s="45">
        <f>VLOOKUP(IF(ISBLANK('Список деталей'!F86)=TRUE,7,'Список деталей'!F86),кромка,2,0)+VLOOKUP(IF(ISBLANK('Список деталей'!G86)=TRUE,7,'Список деталей'!G86),кромка,2,0)+'Список деталей'!D86</f>
        <v>0</v>
      </c>
      <c r="S78" s="42">
        <f>IF('Список деталей'!H86="",0,1)+IF('Список деталей'!I86="",0,1)+'Список деталей'!C86</f>
        <v>0</v>
      </c>
      <c r="T78" s="42">
        <f>IF('Список деталей'!F86="",0,1)+IF('Список деталей'!G86="",0,1)+'Список деталей'!D86</f>
        <v>0</v>
      </c>
      <c r="U78" s="3" t="str">
        <f>IF(ISBLANK('Список деталей'!K86),"",'Список деталей'!K86)</f>
        <v/>
      </c>
      <c r="V78" s="3" t="str">
        <f>IF(AND('Список деталей'!C86&gt;849,'Список деталей'!D86&gt;849)=TRUE,1*'Список деталей'!E86,"")</f>
        <v/>
      </c>
    </row>
    <row r="79" spans="1:22" x14ac:dyDescent="0.45">
      <c r="A79" s="3">
        <f>IF(ISNUMBER('Список деталей'!A87), 'Список деталей'!A87, "")</f>
        <v>78</v>
      </c>
      <c r="B79" s="30" t="str">
        <f>IF(ISBLANK('Список деталей'!B87),"",'Список деталей'!B87)</f>
        <v/>
      </c>
      <c r="C79" s="3" t="str">
        <f>IF(ISNUMBER('Список деталей'!C87), $W$4,"")</f>
        <v/>
      </c>
      <c r="D79" s="3" t="str">
        <f>IF(ISNUMBER('Список деталей'!C87), 'Список деталей'!$I$4,"")</f>
        <v/>
      </c>
      <c r="E79" s="24" t="str">
        <f>IF(ISNUMBER('Список деталей'!E87), 'Список деталей'!E87, "")</f>
        <v/>
      </c>
      <c r="F79" s="24" t="str">
        <f>IF(ISNUMBER('Список деталей'!C87), 'Список деталей'!C87, "")</f>
        <v/>
      </c>
      <c r="G79" s="24" t="str">
        <f>IF(ISNUMBER('Список деталей'!D87), 'Список деталей'!D87, "")</f>
        <v/>
      </c>
      <c r="H79" s="3" t="str">
        <f t="shared" si="1"/>
        <v xml:space="preserve">    </v>
      </c>
      <c r="I79" s="3" t="str">
        <f>IF(ISBLANK('Список деталей'!F87),"",VLOOKUP('Список деталей'!F87,обозначениКромки,4,0))</f>
        <v/>
      </c>
      <c r="J79" s="25" t="str">
        <f>IF(ISBLANK('Список деталей'!G87),"",VLOOKUP('Список деталей'!G87,обозначениКромки,4,0))</f>
        <v/>
      </c>
      <c r="K79" s="25" t="str">
        <f>IF(ISBLANK('Список деталей'!H87),"",VLOOKUP('Список деталей'!H87,обозначениКромки,4,0))</f>
        <v/>
      </c>
      <c r="L79" s="25" t="str">
        <f>IF(ISBLANK('Список деталей'!I87),"",VLOOKUP('Список деталей'!I87,обозначениКромки,4,0))</f>
        <v/>
      </c>
      <c r="M79" s="24" t="str">
        <f>IF(ISBLANK('Список деталей'!Y87),"",('Список деталей'!Y87))</f>
        <v/>
      </c>
      <c r="N79" s="3" t="str">
        <f>IF(ISBLANK('Список деталей'!Z87),"",('Список деталей'!Z87))</f>
        <v/>
      </c>
      <c r="O79" s="3" t="str">
        <f>IF(ISBLANK('Список деталей'!AA87),"",('Список деталей'!AA87))</f>
        <v/>
      </c>
      <c r="P79" s="3" t="str">
        <f>IF(ISBLANK('Список деталей'!AB87),"",('Список деталей'!AB87))</f>
        <v/>
      </c>
      <c r="Q79" s="45">
        <f>VLOOKUP(IF(ISBLANK('Список деталей'!H87)=TRUE,7,'Список деталей'!H87),кромка,2,0)+VLOOKUP(IF(ISBLANK('Список деталей'!I87)=TRUE,7,'Список деталей'!I87),кромка,2,0)+'Список деталей'!C87</f>
        <v>0</v>
      </c>
      <c r="R79" s="45">
        <f>VLOOKUP(IF(ISBLANK('Список деталей'!F87)=TRUE,7,'Список деталей'!F87),кромка,2,0)+VLOOKUP(IF(ISBLANK('Список деталей'!G87)=TRUE,7,'Список деталей'!G87),кромка,2,0)+'Список деталей'!D87</f>
        <v>0</v>
      </c>
      <c r="S79" s="42">
        <f>IF('Список деталей'!H87="",0,1)+IF('Список деталей'!I87="",0,1)+'Список деталей'!C87</f>
        <v>0</v>
      </c>
      <c r="T79" s="42">
        <f>IF('Список деталей'!F87="",0,1)+IF('Список деталей'!G87="",0,1)+'Список деталей'!D87</f>
        <v>0</v>
      </c>
      <c r="U79" s="3" t="str">
        <f>IF(ISBLANK('Список деталей'!K87),"",'Список деталей'!K87)</f>
        <v/>
      </c>
      <c r="V79" s="3" t="str">
        <f>IF(AND('Список деталей'!C87&gt;849,'Список деталей'!D87&gt;849)=TRUE,1*'Список деталей'!E87,"")</f>
        <v/>
      </c>
    </row>
    <row r="80" spans="1:22" x14ac:dyDescent="0.45">
      <c r="A80" s="3">
        <f>IF(ISNUMBER('Список деталей'!A88), 'Список деталей'!A88, "")</f>
        <v>79</v>
      </c>
      <c r="B80" s="30" t="str">
        <f>IF(ISBLANK('Список деталей'!B88),"",'Список деталей'!B88)</f>
        <v/>
      </c>
      <c r="C80" s="3" t="str">
        <f>IF(ISNUMBER('Список деталей'!C88), $W$4,"")</f>
        <v/>
      </c>
      <c r="D80" s="3" t="str">
        <f>IF(ISNUMBER('Список деталей'!C88), 'Список деталей'!$I$4,"")</f>
        <v/>
      </c>
      <c r="E80" s="24" t="str">
        <f>IF(ISNUMBER('Список деталей'!E88), 'Список деталей'!E88, "")</f>
        <v/>
      </c>
      <c r="F80" s="24" t="str">
        <f>IF(ISNUMBER('Список деталей'!C88), 'Список деталей'!C88, "")</f>
        <v/>
      </c>
      <c r="G80" s="24" t="str">
        <f>IF(ISNUMBER('Список деталей'!D88), 'Список деталей'!D88, "")</f>
        <v/>
      </c>
      <c r="H80" s="3" t="str">
        <f t="shared" si="1"/>
        <v xml:space="preserve">    </v>
      </c>
      <c r="I80" s="3" t="str">
        <f>IF(ISBLANK('Список деталей'!F88),"",VLOOKUP('Список деталей'!F88,обозначениКромки,4,0))</f>
        <v/>
      </c>
      <c r="J80" s="25" t="str">
        <f>IF(ISBLANK('Список деталей'!G88),"",VLOOKUP('Список деталей'!G88,обозначениКромки,4,0))</f>
        <v/>
      </c>
      <c r="K80" s="25" t="str">
        <f>IF(ISBLANK('Список деталей'!H88),"",VLOOKUP('Список деталей'!H88,обозначениКромки,4,0))</f>
        <v/>
      </c>
      <c r="L80" s="25" t="str">
        <f>IF(ISBLANK('Список деталей'!I88),"",VLOOKUP('Список деталей'!I88,обозначениКромки,4,0))</f>
        <v/>
      </c>
      <c r="M80" s="24" t="str">
        <f>IF(ISBLANK('Список деталей'!Y88),"",('Список деталей'!Y88))</f>
        <v/>
      </c>
      <c r="N80" s="3" t="str">
        <f>IF(ISBLANK('Список деталей'!Z88),"",('Список деталей'!Z88))</f>
        <v/>
      </c>
      <c r="O80" s="3" t="str">
        <f>IF(ISBLANK('Список деталей'!AA88),"",('Список деталей'!AA88))</f>
        <v/>
      </c>
      <c r="P80" s="3" t="str">
        <f>IF(ISBLANK('Список деталей'!AB88),"",('Список деталей'!AB88))</f>
        <v/>
      </c>
      <c r="Q80" s="45">
        <f>VLOOKUP(IF(ISBLANK('Список деталей'!H88)=TRUE,7,'Список деталей'!H88),кромка,2,0)+VLOOKUP(IF(ISBLANK('Список деталей'!I88)=TRUE,7,'Список деталей'!I88),кромка,2,0)+'Список деталей'!C88</f>
        <v>0</v>
      </c>
      <c r="R80" s="45">
        <f>VLOOKUP(IF(ISBLANK('Список деталей'!F88)=TRUE,7,'Список деталей'!F88),кромка,2,0)+VLOOKUP(IF(ISBLANK('Список деталей'!G88)=TRUE,7,'Список деталей'!G88),кромка,2,0)+'Список деталей'!D88</f>
        <v>0</v>
      </c>
      <c r="S80" s="42">
        <f>IF('Список деталей'!H88="",0,1)+IF('Список деталей'!I88="",0,1)+'Список деталей'!C88</f>
        <v>0</v>
      </c>
      <c r="T80" s="42">
        <f>IF('Список деталей'!F88="",0,1)+IF('Список деталей'!G88="",0,1)+'Список деталей'!D88</f>
        <v>0</v>
      </c>
      <c r="U80" s="3" t="str">
        <f>IF(ISBLANK('Список деталей'!K88),"",'Список деталей'!K88)</f>
        <v/>
      </c>
      <c r="V80" s="3" t="str">
        <f>IF(AND('Список деталей'!C88&gt;849,'Список деталей'!D88&gt;849)=TRUE,1*'Список деталей'!E88,"")</f>
        <v/>
      </c>
    </row>
    <row r="81" spans="1:22" x14ac:dyDescent="0.45">
      <c r="A81" s="3">
        <f>IF(ISNUMBER('Список деталей'!A89), 'Список деталей'!A89, "")</f>
        <v>80</v>
      </c>
      <c r="B81" s="30" t="str">
        <f>IF(ISBLANK('Список деталей'!B89),"",'Список деталей'!B89)</f>
        <v/>
      </c>
      <c r="C81" s="3" t="str">
        <f>IF(ISNUMBER('Список деталей'!C89), $W$4,"")</f>
        <v/>
      </c>
      <c r="D81" s="3" t="str">
        <f>IF(ISNUMBER('Список деталей'!C89), 'Список деталей'!$I$4,"")</f>
        <v/>
      </c>
      <c r="E81" s="24" t="str">
        <f>IF(ISNUMBER('Список деталей'!E89), 'Список деталей'!E89, "")</f>
        <v/>
      </c>
      <c r="F81" s="24" t="str">
        <f>IF(ISNUMBER('Список деталей'!C89), 'Список деталей'!C89, "")</f>
        <v/>
      </c>
      <c r="G81" s="24" t="str">
        <f>IF(ISNUMBER('Список деталей'!D89), 'Список деталей'!D89, "")</f>
        <v/>
      </c>
      <c r="H81" s="3" t="str">
        <f t="shared" si="1"/>
        <v xml:space="preserve">    </v>
      </c>
      <c r="I81" s="3" t="str">
        <f>IF(ISBLANK('Список деталей'!F89),"",VLOOKUP('Список деталей'!F89,обозначениКромки,4,0))</f>
        <v/>
      </c>
      <c r="J81" s="25" t="str">
        <f>IF(ISBLANK('Список деталей'!G89),"",VLOOKUP('Список деталей'!G89,обозначениКромки,4,0))</f>
        <v/>
      </c>
      <c r="K81" s="25" t="str">
        <f>IF(ISBLANK('Список деталей'!H89),"",VLOOKUP('Список деталей'!H89,обозначениКромки,4,0))</f>
        <v/>
      </c>
      <c r="L81" s="25" t="str">
        <f>IF(ISBLANK('Список деталей'!I89),"",VLOOKUP('Список деталей'!I89,обозначениКромки,4,0))</f>
        <v/>
      </c>
      <c r="M81" s="24" t="str">
        <f>IF(ISBLANK('Список деталей'!Y89),"",('Список деталей'!Y89))</f>
        <v/>
      </c>
      <c r="N81" s="3" t="str">
        <f>IF(ISBLANK('Список деталей'!Z89),"",('Список деталей'!Z89))</f>
        <v/>
      </c>
      <c r="O81" s="3" t="str">
        <f>IF(ISBLANK('Список деталей'!AA89),"",('Список деталей'!AA89))</f>
        <v/>
      </c>
      <c r="P81" s="3" t="str">
        <f>IF(ISBLANK('Список деталей'!AB89),"",('Список деталей'!AB89))</f>
        <v/>
      </c>
      <c r="Q81" s="45">
        <f>VLOOKUP(IF(ISBLANK('Список деталей'!H89)=TRUE,7,'Список деталей'!H89),кромка,2,0)+VLOOKUP(IF(ISBLANK('Список деталей'!I89)=TRUE,7,'Список деталей'!I89),кромка,2,0)+'Список деталей'!C89</f>
        <v>0</v>
      </c>
      <c r="R81" s="45">
        <f>VLOOKUP(IF(ISBLANK('Список деталей'!F89)=TRUE,7,'Список деталей'!F89),кромка,2,0)+VLOOKUP(IF(ISBLANK('Список деталей'!G89)=TRUE,7,'Список деталей'!G89),кромка,2,0)+'Список деталей'!D89</f>
        <v>0</v>
      </c>
      <c r="S81" s="42">
        <f>IF('Список деталей'!H89="",0,1)+IF('Список деталей'!I89="",0,1)+'Список деталей'!C89</f>
        <v>0</v>
      </c>
      <c r="T81" s="42">
        <f>IF('Список деталей'!F89="",0,1)+IF('Список деталей'!G89="",0,1)+'Список деталей'!D89</f>
        <v>0</v>
      </c>
      <c r="U81" s="3" t="str">
        <f>IF(ISBLANK('Список деталей'!K89),"",'Список деталей'!K89)</f>
        <v/>
      </c>
      <c r="V81" s="3" t="str">
        <f>IF(AND('Список деталей'!C89&gt;849,'Список деталей'!D89&gt;849)=TRUE,1*'Список деталей'!E89,"")</f>
        <v/>
      </c>
    </row>
    <row r="82" spans="1:22" x14ac:dyDescent="0.45">
      <c r="A82" s="3">
        <f>IF(ISNUMBER('Список деталей'!A90), 'Список деталей'!A90, "")</f>
        <v>81</v>
      </c>
      <c r="B82" s="30" t="str">
        <f>IF(ISBLANK('Список деталей'!B90),"",'Список деталей'!B90)</f>
        <v/>
      </c>
      <c r="C82" s="3" t="str">
        <f>IF(ISNUMBER('Список деталей'!C90), $W$4,"")</f>
        <v/>
      </c>
      <c r="D82" s="3" t="str">
        <f>IF(ISNUMBER('Список деталей'!C90), 'Список деталей'!$I$4,"")</f>
        <v/>
      </c>
      <c r="E82" s="24" t="str">
        <f>IF(ISNUMBER('Список деталей'!E90), 'Список деталей'!E90, "")</f>
        <v/>
      </c>
      <c r="F82" s="24" t="str">
        <f>IF(ISNUMBER('Список деталей'!C90), 'Список деталей'!C90, "")</f>
        <v/>
      </c>
      <c r="G82" s="24" t="str">
        <f>IF(ISNUMBER('Список деталей'!D90), 'Список деталей'!D90, "")</f>
        <v/>
      </c>
      <c r="H82" s="3" t="str">
        <f t="shared" si="1"/>
        <v xml:space="preserve">    </v>
      </c>
      <c r="I82" s="3" t="str">
        <f>IF(ISBLANK('Список деталей'!F90),"",VLOOKUP('Список деталей'!F90,обозначениКромки,4,0))</f>
        <v/>
      </c>
      <c r="J82" s="25" t="str">
        <f>IF(ISBLANK('Список деталей'!G90),"",VLOOKUP('Список деталей'!G90,обозначениКромки,4,0))</f>
        <v/>
      </c>
      <c r="K82" s="25" t="str">
        <f>IF(ISBLANK('Список деталей'!H90),"",VLOOKUP('Список деталей'!H90,обозначениКромки,4,0))</f>
        <v/>
      </c>
      <c r="L82" s="25" t="str">
        <f>IF(ISBLANK('Список деталей'!I90),"",VLOOKUP('Список деталей'!I90,обозначениКромки,4,0))</f>
        <v/>
      </c>
      <c r="M82" s="24" t="str">
        <f>IF(ISBLANK('Список деталей'!Y90),"",('Список деталей'!Y90))</f>
        <v/>
      </c>
      <c r="N82" s="3" t="str">
        <f>IF(ISBLANK('Список деталей'!Z90),"",('Список деталей'!Z90))</f>
        <v/>
      </c>
      <c r="O82" s="3" t="str">
        <f>IF(ISBLANK('Список деталей'!AA90),"",('Список деталей'!AA90))</f>
        <v/>
      </c>
      <c r="P82" s="3" t="str">
        <f>IF(ISBLANK('Список деталей'!AB90),"",('Список деталей'!AB90))</f>
        <v/>
      </c>
      <c r="Q82" s="45">
        <f>VLOOKUP(IF(ISBLANK('Список деталей'!H90)=TRUE,7,'Список деталей'!H90),кромка,2,0)+VLOOKUP(IF(ISBLANK('Список деталей'!I90)=TRUE,7,'Список деталей'!I90),кромка,2,0)+'Список деталей'!C90</f>
        <v>0</v>
      </c>
      <c r="R82" s="45">
        <f>VLOOKUP(IF(ISBLANK('Список деталей'!F90)=TRUE,7,'Список деталей'!F90),кромка,2,0)+VLOOKUP(IF(ISBLANK('Список деталей'!G90)=TRUE,7,'Список деталей'!G90),кромка,2,0)+'Список деталей'!D90</f>
        <v>0</v>
      </c>
      <c r="S82" s="42">
        <f>IF('Список деталей'!H90="",0,1)+IF('Список деталей'!I90="",0,1)+'Список деталей'!C90</f>
        <v>0</v>
      </c>
      <c r="T82" s="42">
        <f>IF('Список деталей'!F90="",0,1)+IF('Список деталей'!G90="",0,1)+'Список деталей'!D90</f>
        <v>0</v>
      </c>
      <c r="U82" s="3" t="str">
        <f>IF(ISBLANK('Список деталей'!K90),"",'Список деталей'!K90)</f>
        <v/>
      </c>
      <c r="V82" s="3" t="str">
        <f>IF(AND('Список деталей'!C90&gt;849,'Список деталей'!D90&gt;849)=TRUE,1*'Список деталей'!E90,"")</f>
        <v/>
      </c>
    </row>
    <row r="83" spans="1:22" x14ac:dyDescent="0.45">
      <c r="A83" s="3">
        <f>IF(ISNUMBER('Список деталей'!A91), 'Список деталей'!A91, "")</f>
        <v>82</v>
      </c>
      <c r="B83" s="30" t="str">
        <f>IF(ISBLANK('Список деталей'!B91),"",'Список деталей'!B91)</f>
        <v/>
      </c>
      <c r="C83" s="3" t="str">
        <f>IF(ISNUMBER('Список деталей'!C91), $W$4,"")</f>
        <v/>
      </c>
      <c r="D83" s="3" t="str">
        <f>IF(ISNUMBER('Список деталей'!C91), 'Список деталей'!$I$4,"")</f>
        <v/>
      </c>
      <c r="E83" s="24" t="str">
        <f>IF(ISNUMBER('Список деталей'!E91), 'Список деталей'!E91, "")</f>
        <v/>
      </c>
      <c r="F83" s="24" t="str">
        <f>IF(ISNUMBER('Список деталей'!C91), 'Список деталей'!C91, "")</f>
        <v/>
      </c>
      <c r="G83" s="24" t="str">
        <f>IF(ISNUMBER('Список деталей'!D91), 'Список деталей'!D91, "")</f>
        <v/>
      </c>
      <c r="H83" s="3" t="str">
        <f t="shared" si="1"/>
        <v xml:space="preserve">    </v>
      </c>
      <c r="I83" s="3" t="str">
        <f>IF(ISBLANK('Список деталей'!F91),"",VLOOKUP('Список деталей'!F91,обозначениКромки,4,0))</f>
        <v/>
      </c>
      <c r="J83" s="25" t="str">
        <f>IF(ISBLANK('Список деталей'!G91),"",VLOOKUP('Список деталей'!G91,обозначениКромки,4,0))</f>
        <v/>
      </c>
      <c r="K83" s="25" t="str">
        <f>IF(ISBLANK('Список деталей'!H91),"",VLOOKUP('Список деталей'!H91,обозначениКромки,4,0))</f>
        <v/>
      </c>
      <c r="L83" s="25" t="str">
        <f>IF(ISBLANK('Список деталей'!I91),"",VLOOKUP('Список деталей'!I91,обозначениКромки,4,0))</f>
        <v/>
      </c>
      <c r="M83" s="24" t="str">
        <f>IF(ISBLANK('Список деталей'!Y91),"",('Список деталей'!Y91))</f>
        <v/>
      </c>
      <c r="N83" s="3" t="str">
        <f>IF(ISBLANK('Список деталей'!Z91),"",('Список деталей'!Z91))</f>
        <v/>
      </c>
      <c r="O83" s="3" t="str">
        <f>IF(ISBLANK('Список деталей'!AA91),"",('Список деталей'!AA91))</f>
        <v/>
      </c>
      <c r="P83" s="3" t="str">
        <f>IF(ISBLANK('Список деталей'!AB91),"",('Список деталей'!AB91))</f>
        <v/>
      </c>
      <c r="Q83" s="45">
        <f>VLOOKUP(IF(ISBLANK('Список деталей'!H91)=TRUE,7,'Список деталей'!H91),кромка,2,0)+VLOOKUP(IF(ISBLANK('Список деталей'!I91)=TRUE,7,'Список деталей'!I91),кромка,2,0)+'Список деталей'!C91</f>
        <v>0</v>
      </c>
      <c r="R83" s="45">
        <f>VLOOKUP(IF(ISBLANK('Список деталей'!F91)=TRUE,7,'Список деталей'!F91),кромка,2,0)+VLOOKUP(IF(ISBLANK('Список деталей'!G91)=TRUE,7,'Список деталей'!G91),кромка,2,0)+'Список деталей'!D91</f>
        <v>0</v>
      </c>
      <c r="S83" s="42">
        <f>IF('Список деталей'!H91="",0,1)+IF('Список деталей'!I91="",0,1)+'Список деталей'!C91</f>
        <v>0</v>
      </c>
      <c r="T83" s="42">
        <f>IF('Список деталей'!F91="",0,1)+IF('Список деталей'!G91="",0,1)+'Список деталей'!D91</f>
        <v>0</v>
      </c>
      <c r="U83" s="3" t="str">
        <f>IF(ISBLANK('Список деталей'!K91),"",'Список деталей'!K91)</f>
        <v/>
      </c>
      <c r="V83" s="3" t="str">
        <f>IF(AND('Список деталей'!C91&gt;849,'Список деталей'!D91&gt;849)=TRUE,1*'Список деталей'!E91,"")</f>
        <v/>
      </c>
    </row>
    <row r="84" spans="1:22" x14ac:dyDescent="0.45">
      <c r="A84" s="3">
        <f>IF(ISNUMBER('Список деталей'!A92), 'Список деталей'!A92, "")</f>
        <v>83</v>
      </c>
      <c r="B84" s="30" t="str">
        <f>IF(ISBLANK('Список деталей'!B92),"",'Список деталей'!B92)</f>
        <v/>
      </c>
      <c r="C84" s="3" t="str">
        <f>IF(ISNUMBER('Список деталей'!C92), $W$4,"")</f>
        <v/>
      </c>
      <c r="D84" s="3" t="str">
        <f>IF(ISNUMBER('Список деталей'!C92), 'Список деталей'!$I$4,"")</f>
        <v/>
      </c>
      <c r="E84" s="24" t="str">
        <f>IF(ISNUMBER('Список деталей'!E92), 'Список деталей'!E92, "")</f>
        <v/>
      </c>
      <c r="F84" s="24" t="str">
        <f>IF(ISNUMBER('Список деталей'!C92), 'Список деталей'!C92, "")</f>
        <v/>
      </c>
      <c r="G84" s="24" t="str">
        <f>IF(ISNUMBER('Список деталей'!D92), 'Список деталей'!D92, "")</f>
        <v/>
      </c>
      <c r="H84" s="3" t="str">
        <f t="shared" si="1"/>
        <v xml:space="preserve">    </v>
      </c>
      <c r="I84" s="3" t="str">
        <f>IF(ISBLANK('Список деталей'!F92),"",VLOOKUP('Список деталей'!F92,обозначениКромки,4,0))</f>
        <v/>
      </c>
      <c r="J84" s="25" t="str">
        <f>IF(ISBLANK('Список деталей'!G92),"",VLOOKUP('Список деталей'!G92,обозначениКромки,4,0))</f>
        <v/>
      </c>
      <c r="K84" s="25" t="str">
        <f>IF(ISBLANK('Список деталей'!H92),"",VLOOKUP('Список деталей'!H92,обозначениКромки,4,0))</f>
        <v/>
      </c>
      <c r="L84" s="25" t="str">
        <f>IF(ISBLANK('Список деталей'!I92),"",VLOOKUP('Список деталей'!I92,обозначениКромки,4,0))</f>
        <v/>
      </c>
      <c r="M84" s="24" t="str">
        <f>IF(ISBLANK('Список деталей'!Y92),"",('Список деталей'!Y92))</f>
        <v/>
      </c>
      <c r="N84" s="3" t="str">
        <f>IF(ISBLANK('Список деталей'!Z92),"",('Список деталей'!Z92))</f>
        <v/>
      </c>
      <c r="O84" s="3" t="str">
        <f>IF(ISBLANK('Список деталей'!AA92),"",('Список деталей'!AA92))</f>
        <v/>
      </c>
      <c r="P84" s="3" t="str">
        <f>IF(ISBLANK('Список деталей'!AB92),"",('Список деталей'!AB92))</f>
        <v/>
      </c>
      <c r="Q84" s="45">
        <f>VLOOKUP(IF(ISBLANK('Список деталей'!H92)=TRUE,7,'Список деталей'!H92),кромка,2,0)+VLOOKUP(IF(ISBLANK('Список деталей'!I92)=TRUE,7,'Список деталей'!I92),кромка,2,0)+'Список деталей'!C92</f>
        <v>0</v>
      </c>
      <c r="R84" s="45">
        <f>VLOOKUP(IF(ISBLANK('Список деталей'!F92)=TRUE,7,'Список деталей'!F92),кромка,2,0)+VLOOKUP(IF(ISBLANK('Список деталей'!G92)=TRUE,7,'Список деталей'!G92),кромка,2,0)+'Список деталей'!D92</f>
        <v>0</v>
      </c>
      <c r="S84" s="42">
        <f>IF('Список деталей'!H92="",0,1)+IF('Список деталей'!I92="",0,1)+'Список деталей'!C92</f>
        <v>0</v>
      </c>
      <c r="T84" s="42">
        <f>IF('Список деталей'!F92="",0,1)+IF('Список деталей'!G92="",0,1)+'Список деталей'!D92</f>
        <v>0</v>
      </c>
      <c r="U84" s="3" t="str">
        <f>IF(ISBLANK('Список деталей'!K92),"",'Список деталей'!K92)</f>
        <v/>
      </c>
      <c r="V84" s="3" t="str">
        <f>IF(AND('Список деталей'!C92&gt;849,'Список деталей'!D92&gt;849)=TRUE,1*'Список деталей'!E92,"")</f>
        <v/>
      </c>
    </row>
    <row r="85" spans="1:22" x14ac:dyDescent="0.45">
      <c r="A85" s="3">
        <f>IF(ISNUMBER('Список деталей'!A93), 'Список деталей'!A93, "")</f>
        <v>84</v>
      </c>
      <c r="B85" s="30" t="str">
        <f>IF(ISBLANK('Список деталей'!B93),"",'Список деталей'!B93)</f>
        <v/>
      </c>
      <c r="C85" s="3" t="str">
        <f>IF(ISNUMBER('Список деталей'!C93), $W$4,"")</f>
        <v/>
      </c>
      <c r="D85" s="3" t="str">
        <f>IF(ISNUMBER('Список деталей'!C93), 'Список деталей'!$I$4,"")</f>
        <v/>
      </c>
      <c r="E85" s="24" t="str">
        <f>IF(ISNUMBER('Список деталей'!E93), 'Список деталей'!E93, "")</f>
        <v/>
      </c>
      <c r="F85" s="24" t="str">
        <f>IF(ISNUMBER('Список деталей'!C93), 'Список деталей'!C93, "")</f>
        <v/>
      </c>
      <c r="G85" s="24" t="str">
        <f>IF(ISNUMBER('Список деталей'!D93), 'Список деталей'!D93, "")</f>
        <v/>
      </c>
      <c r="H85" s="3" t="str">
        <f t="shared" si="1"/>
        <v xml:space="preserve">    </v>
      </c>
      <c r="I85" s="3" t="str">
        <f>IF(ISBLANK('Список деталей'!F93),"",VLOOKUP('Список деталей'!F93,обозначениКромки,4,0))</f>
        <v/>
      </c>
      <c r="J85" s="25" t="str">
        <f>IF(ISBLANK('Список деталей'!G93),"",VLOOKUP('Список деталей'!G93,обозначениКромки,4,0))</f>
        <v/>
      </c>
      <c r="K85" s="25" t="str">
        <f>IF(ISBLANK('Список деталей'!H93),"",VLOOKUP('Список деталей'!H93,обозначениКромки,4,0))</f>
        <v/>
      </c>
      <c r="L85" s="25" t="str">
        <f>IF(ISBLANK('Список деталей'!I93),"",VLOOKUP('Список деталей'!I93,обозначениКромки,4,0))</f>
        <v/>
      </c>
      <c r="M85" s="24" t="str">
        <f>IF(ISBLANK('Список деталей'!Y93),"",('Список деталей'!Y93))</f>
        <v/>
      </c>
      <c r="N85" s="3" t="str">
        <f>IF(ISBLANK('Список деталей'!Z93),"",('Список деталей'!Z93))</f>
        <v/>
      </c>
      <c r="O85" s="3" t="str">
        <f>IF(ISBLANK('Список деталей'!AA93),"",('Список деталей'!AA93))</f>
        <v/>
      </c>
      <c r="P85" s="3" t="str">
        <f>IF(ISBLANK('Список деталей'!AB93),"",('Список деталей'!AB93))</f>
        <v/>
      </c>
      <c r="Q85" s="45">
        <f>VLOOKUP(IF(ISBLANK('Список деталей'!H93)=TRUE,7,'Список деталей'!H93),кромка,2,0)+VLOOKUP(IF(ISBLANK('Список деталей'!I93)=TRUE,7,'Список деталей'!I93),кромка,2,0)+'Список деталей'!C93</f>
        <v>0</v>
      </c>
      <c r="R85" s="45">
        <f>VLOOKUP(IF(ISBLANK('Список деталей'!F93)=TRUE,7,'Список деталей'!F93),кромка,2,0)+VLOOKUP(IF(ISBLANK('Список деталей'!G93)=TRUE,7,'Список деталей'!G93),кромка,2,0)+'Список деталей'!D93</f>
        <v>0</v>
      </c>
      <c r="S85" s="42">
        <f>IF('Список деталей'!H93="",0,1)+IF('Список деталей'!I93="",0,1)+'Список деталей'!C93</f>
        <v>0</v>
      </c>
      <c r="T85" s="42">
        <f>IF('Список деталей'!F93="",0,1)+IF('Список деталей'!G93="",0,1)+'Список деталей'!D93</f>
        <v>0</v>
      </c>
      <c r="U85" s="3" t="str">
        <f>IF(ISBLANK('Список деталей'!K93),"",'Список деталей'!K93)</f>
        <v/>
      </c>
      <c r="V85" s="3" t="str">
        <f>IF(AND('Список деталей'!C93&gt;849,'Список деталей'!D93&gt;849)=TRUE,1*'Список деталей'!E93,"")</f>
        <v/>
      </c>
    </row>
    <row r="86" spans="1:22" x14ac:dyDescent="0.45">
      <c r="A86" s="3">
        <f>IF(ISNUMBER('Список деталей'!A94), 'Список деталей'!A94, "")</f>
        <v>85</v>
      </c>
      <c r="B86" s="30" t="str">
        <f>IF(ISBLANK('Список деталей'!B94),"",'Список деталей'!B94)</f>
        <v/>
      </c>
      <c r="C86" s="3" t="str">
        <f>IF(ISNUMBER('Список деталей'!C94), $W$4,"")</f>
        <v/>
      </c>
      <c r="D86" s="3" t="str">
        <f>IF(ISNUMBER('Список деталей'!C94), 'Список деталей'!$I$4,"")</f>
        <v/>
      </c>
      <c r="E86" s="24" t="str">
        <f>IF(ISNUMBER('Список деталей'!E94), 'Список деталей'!E94, "")</f>
        <v/>
      </c>
      <c r="F86" s="24" t="str">
        <f>IF(ISNUMBER('Список деталей'!C94), 'Список деталей'!C94, "")</f>
        <v/>
      </c>
      <c r="G86" s="24" t="str">
        <f>IF(ISNUMBER('Список деталей'!D94), 'Список деталей'!D94, "")</f>
        <v/>
      </c>
      <c r="H86" s="3" t="str">
        <f t="shared" si="1"/>
        <v xml:space="preserve">    </v>
      </c>
      <c r="I86" s="3" t="str">
        <f>IF(ISBLANK('Список деталей'!F94),"",VLOOKUP('Список деталей'!F94,обозначениКромки,4,0))</f>
        <v/>
      </c>
      <c r="J86" s="25" t="str">
        <f>IF(ISBLANK('Список деталей'!G94),"",VLOOKUP('Список деталей'!G94,обозначениКромки,4,0))</f>
        <v/>
      </c>
      <c r="K86" s="25" t="str">
        <f>IF(ISBLANK('Список деталей'!H94),"",VLOOKUP('Список деталей'!H94,обозначениКромки,4,0))</f>
        <v/>
      </c>
      <c r="L86" s="25" t="str">
        <f>IF(ISBLANK('Список деталей'!I94),"",VLOOKUP('Список деталей'!I94,обозначениКромки,4,0))</f>
        <v/>
      </c>
      <c r="M86" s="24" t="str">
        <f>IF(ISBLANK('Список деталей'!Y94),"",('Список деталей'!Y94))</f>
        <v/>
      </c>
      <c r="N86" s="3" t="str">
        <f>IF(ISBLANK('Список деталей'!Z94),"",('Список деталей'!Z94))</f>
        <v/>
      </c>
      <c r="O86" s="3" t="str">
        <f>IF(ISBLANK('Список деталей'!AA94),"",('Список деталей'!AA94))</f>
        <v/>
      </c>
      <c r="P86" s="3" t="str">
        <f>IF(ISBLANK('Список деталей'!AB94),"",('Список деталей'!AB94))</f>
        <v/>
      </c>
      <c r="Q86" s="45">
        <f>VLOOKUP(IF(ISBLANK('Список деталей'!H94)=TRUE,7,'Список деталей'!H94),кромка,2,0)+VLOOKUP(IF(ISBLANK('Список деталей'!I94)=TRUE,7,'Список деталей'!I94),кромка,2,0)+'Список деталей'!C94</f>
        <v>0</v>
      </c>
      <c r="R86" s="45">
        <f>VLOOKUP(IF(ISBLANK('Список деталей'!F94)=TRUE,7,'Список деталей'!F94),кромка,2,0)+VLOOKUP(IF(ISBLANK('Список деталей'!G94)=TRUE,7,'Список деталей'!G94),кромка,2,0)+'Список деталей'!D94</f>
        <v>0</v>
      </c>
      <c r="S86" s="42">
        <f>IF('Список деталей'!H94="",0,1)+IF('Список деталей'!I94="",0,1)+'Список деталей'!C94</f>
        <v>0</v>
      </c>
      <c r="T86" s="42">
        <f>IF('Список деталей'!F94="",0,1)+IF('Список деталей'!G94="",0,1)+'Список деталей'!D94</f>
        <v>0</v>
      </c>
      <c r="U86" s="3" t="str">
        <f>IF(ISBLANK('Список деталей'!K94),"",'Список деталей'!K94)</f>
        <v/>
      </c>
      <c r="V86" s="3" t="str">
        <f>IF(AND('Список деталей'!C94&gt;849,'Список деталей'!D94&gt;849)=TRUE,1*'Список деталей'!E94,"")</f>
        <v/>
      </c>
    </row>
    <row r="87" spans="1:22" x14ac:dyDescent="0.45">
      <c r="A87" s="3">
        <f>IF(ISNUMBER('Список деталей'!A95), 'Список деталей'!A95, "")</f>
        <v>86</v>
      </c>
      <c r="B87" s="30" t="str">
        <f>IF(ISBLANK('Список деталей'!B95),"",'Список деталей'!B95)</f>
        <v/>
      </c>
      <c r="C87" s="3" t="str">
        <f>IF(ISNUMBER('Список деталей'!C95), $W$4,"")</f>
        <v/>
      </c>
      <c r="D87" s="3" t="str">
        <f>IF(ISNUMBER('Список деталей'!C95), 'Список деталей'!$I$4,"")</f>
        <v/>
      </c>
      <c r="E87" s="24" t="str">
        <f>IF(ISNUMBER('Список деталей'!E95), 'Список деталей'!E95, "")</f>
        <v/>
      </c>
      <c r="F87" s="24" t="str">
        <f>IF(ISNUMBER('Список деталей'!C95), 'Список деталей'!C95, "")</f>
        <v/>
      </c>
      <c r="G87" s="24" t="str">
        <f>IF(ISNUMBER('Список деталей'!D95), 'Список деталей'!D95, "")</f>
        <v/>
      </c>
      <c r="H87" s="3" t="str">
        <f t="shared" si="1"/>
        <v xml:space="preserve">    </v>
      </c>
      <c r="I87" s="3" t="str">
        <f>IF(ISBLANK('Список деталей'!F95),"",VLOOKUP('Список деталей'!F95,обозначениКромки,4,0))</f>
        <v/>
      </c>
      <c r="J87" s="25" t="str">
        <f>IF(ISBLANK('Список деталей'!G95),"",VLOOKUP('Список деталей'!G95,обозначениКромки,4,0))</f>
        <v/>
      </c>
      <c r="K87" s="25" t="str">
        <f>IF(ISBLANK('Список деталей'!H95),"",VLOOKUP('Список деталей'!H95,обозначениКромки,4,0))</f>
        <v/>
      </c>
      <c r="L87" s="25" t="str">
        <f>IF(ISBLANK('Список деталей'!I95),"",VLOOKUP('Список деталей'!I95,обозначениКромки,4,0))</f>
        <v/>
      </c>
      <c r="M87" s="24" t="str">
        <f>IF(ISBLANK('Список деталей'!Y95),"",('Список деталей'!Y95))</f>
        <v/>
      </c>
      <c r="N87" s="3" t="str">
        <f>IF(ISBLANK('Список деталей'!Z95),"",('Список деталей'!Z95))</f>
        <v/>
      </c>
      <c r="O87" s="3" t="str">
        <f>IF(ISBLANK('Список деталей'!AA95),"",('Список деталей'!AA95))</f>
        <v/>
      </c>
      <c r="P87" s="3" t="str">
        <f>IF(ISBLANK('Список деталей'!AB95),"",('Список деталей'!AB95))</f>
        <v/>
      </c>
      <c r="Q87" s="45">
        <f>VLOOKUP(IF(ISBLANK('Список деталей'!H95)=TRUE,7,'Список деталей'!H95),кромка,2,0)+VLOOKUP(IF(ISBLANK('Список деталей'!I95)=TRUE,7,'Список деталей'!I95),кромка,2,0)+'Список деталей'!C95</f>
        <v>0</v>
      </c>
      <c r="R87" s="45">
        <f>VLOOKUP(IF(ISBLANK('Список деталей'!F95)=TRUE,7,'Список деталей'!F95),кромка,2,0)+VLOOKUP(IF(ISBLANK('Список деталей'!G95)=TRUE,7,'Список деталей'!G95),кромка,2,0)+'Список деталей'!D95</f>
        <v>0</v>
      </c>
      <c r="S87" s="42">
        <f>IF('Список деталей'!H95="",0,1)+IF('Список деталей'!I95="",0,1)+'Список деталей'!C95</f>
        <v>0</v>
      </c>
      <c r="T87" s="42">
        <f>IF('Список деталей'!F95="",0,1)+IF('Список деталей'!G95="",0,1)+'Список деталей'!D95</f>
        <v>0</v>
      </c>
      <c r="U87" s="3" t="str">
        <f>IF(ISBLANK('Список деталей'!K95),"",'Список деталей'!K95)</f>
        <v/>
      </c>
      <c r="V87" s="3" t="str">
        <f>IF(AND('Список деталей'!C95&gt;849,'Список деталей'!D95&gt;849)=TRUE,1*'Список деталей'!E95,"")</f>
        <v/>
      </c>
    </row>
    <row r="88" spans="1:22" x14ac:dyDescent="0.45">
      <c r="A88" s="3">
        <f>IF(ISNUMBER('Список деталей'!A96), 'Список деталей'!A96, "")</f>
        <v>87</v>
      </c>
      <c r="B88" s="30" t="str">
        <f>IF(ISBLANK('Список деталей'!B96),"",'Список деталей'!B96)</f>
        <v/>
      </c>
      <c r="C88" s="3" t="str">
        <f>IF(ISNUMBER('Список деталей'!C96), $W$4,"")</f>
        <v/>
      </c>
      <c r="D88" s="3" t="str">
        <f>IF(ISNUMBER('Список деталей'!C96), 'Список деталей'!$I$4,"")</f>
        <v/>
      </c>
      <c r="E88" s="24" t="str">
        <f>IF(ISNUMBER('Список деталей'!E96), 'Список деталей'!E96, "")</f>
        <v/>
      </c>
      <c r="F88" s="24" t="str">
        <f>IF(ISNUMBER('Список деталей'!C96), 'Список деталей'!C96, "")</f>
        <v/>
      </c>
      <c r="G88" s="24" t="str">
        <f>IF(ISNUMBER('Список деталей'!D96), 'Список деталей'!D96, "")</f>
        <v/>
      </c>
      <c r="H88" s="3" t="str">
        <f t="shared" si="1"/>
        <v xml:space="preserve">    </v>
      </c>
      <c r="I88" s="3" t="str">
        <f>IF(ISBLANK('Список деталей'!F96),"",VLOOKUP('Список деталей'!F96,обозначениКромки,4,0))</f>
        <v/>
      </c>
      <c r="J88" s="25" t="str">
        <f>IF(ISBLANK('Список деталей'!G96),"",VLOOKUP('Список деталей'!G96,обозначениКромки,4,0))</f>
        <v/>
      </c>
      <c r="K88" s="25" t="str">
        <f>IF(ISBLANK('Список деталей'!H96),"",VLOOKUP('Список деталей'!H96,обозначениКромки,4,0))</f>
        <v/>
      </c>
      <c r="L88" s="25" t="str">
        <f>IF(ISBLANK('Список деталей'!I96),"",VLOOKUP('Список деталей'!I96,обозначениКромки,4,0))</f>
        <v/>
      </c>
      <c r="M88" s="24" t="str">
        <f>IF(ISBLANK('Список деталей'!Y96),"",('Список деталей'!Y96))</f>
        <v/>
      </c>
      <c r="N88" s="3" t="str">
        <f>IF(ISBLANK('Список деталей'!Z96),"",('Список деталей'!Z96))</f>
        <v/>
      </c>
      <c r="O88" s="3" t="str">
        <f>IF(ISBLANK('Список деталей'!AA96),"",('Список деталей'!AA96))</f>
        <v/>
      </c>
      <c r="P88" s="3" t="str">
        <f>IF(ISBLANK('Список деталей'!AB96),"",('Список деталей'!AB96))</f>
        <v/>
      </c>
      <c r="Q88" s="45">
        <f>VLOOKUP(IF(ISBLANK('Список деталей'!H96)=TRUE,7,'Список деталей'!H96),кромка,2,0)+VLOOKUP(IF(ISBLANK('Список деталей'!I96)=TRUE,7,'Список деталей'!I96),кромка,2,0)+'Список деталей'!C96</f>
        <v>0</v>
      </c>
      <c r="R88" s="45">
        <f>VLOOKUP(IF(ISBLANK('Список деталей'!F96)=TRUE,7,'Список деталей'!F96),кромка,2,0)+VLOOKUP(IF(ISBLANK('Список деталей'!G96)=TRUE,7,'Список деталей'!G96),кромка,2,0)+'Список деталей'!D96</f>
        <v>0</v>
      </c>
      <c r="S88" s="42">
        <f>IF('Список деталей'!H96="",0,1)+IF('Список деталей'!I96="",0,1)+'Список деталей'!C96</f>
        <v>0</v>
      </c>
      <c r="T88" s="42">
        <f>IF('Список деталей'!F96="",0,1)+IF('Список деталей'!G96="",0,1)+'Список деталей'!D96</f>
        <v>0</v>
      </c>
      <c r="U88" s="3" t="str">
        <f>IF(ISBLANK('Список деталей'!K96),"",'Список деталей'!K96)</f>
        <v/>
      </c>
      <c r="V88" s="3" t="str">
        <f>IF(AND('Список деталей'!C96&gt;849,'Список деталей'!D96&gt;849)=TRUE,1*'Список деталей'!E96,"")</f>
        <v/>
      </c>
    </row>
    <row r="89" spans="1:22" x14ac:dyDescent="0.45">
      <c r="A89" s="3">
        <f>IF(ISNUMBER('Список деталей'!A97), 'Список деталей'!A97, "")</f>
        <v>88</v>
      </c>
      <c r="B89" s="30" t="str">
        <f>IF(ISBLANK('Список деталей'!B97),"",'Список деталей'!B97)</f>
        <v/>
      </c>
      <c r="C89" s="3" t="str">
        <f>IF(ISNUMBER('Список деталей'!C97), $W$4,"")</f>
        <v/>
      </c>
      <c r="D89" s="3" t="str">
        <f>IF(ISNUMBER('Список деталей'!C97), 'Список деталей'!$I$4,"")</f>
        <v/>
      </c>
      <c r="E89" s="24" t="str">
        <f>IF(ISNUMBER('Список деталей'!E97), 'Список деталей'!E97, "")</f>
        <v/>
      </c>
      <c r="F89" s="24" t="str">
        <f>IF(ISNUMBER('Список деталей'!C97), 'Список деталей'!C97, "")</f>
        <v/>
      </c>
      <c r="G89" s="24" t="str">
        <f>IF(ISNUMBER('Список деталей'!D97), 'Список деталей'!D97, "")</f>
        <v/>
      </c>
      <c r="H89" s="3" t="str">
        <f t="shared" si="1"/>
        <v xml:space="preserve">    </v>
      </c>
      <c r="I89" s="3" t="str">
        <f>IF(ISBLANK('Список деталей'!F97),"",VLOOKUP('Список деталей'!F97,обозначениКромки,4,0))</f>
        <v/>
      </c>
      <c r="J89" s="25" t="str">
        <f>IF(ISBLANK('Список деталей'!G97),"",VLOOKUP('Список деталей'!G97,обозначениКромки,4,0))</f>
        <v/>
      </c>
      <c r="K89" s="25" t="str">
        <f>IF(ISBLANK('Список деталей'!H97),"",VLOOKUP('Список деталей'!H97,обозначениКромки,4,0))</f>
        <v/>
      </c>
      <c r="L89" s="25" t="str">
        <f>IF(ISBLANK('Список деталей'!I97),"",VLOOKUP('Список деталей'!I97,обозначениКромки,4,0))</f>
        <v/>
      </c>
      <c r="M89" s="24" t="str">
        <f>IF(ISBLANK('Список деталей'!Y97),"",('Список деталей'!Y97))</f>
        <v/>
      </c>
      <c r="N89" s="3" t="str">
        <f>IF(ISBLANK('Список деталей'!Z97),"",('Список деталей'!Z97))</f>
        <v/>
      </c>
      <c r="O89" s="3" t="str">
        <f>IF(ISBLANK('Список деталей'!AA97),"",('Список деталей'!AA97))</f>
        <v/>
      </c>
      <c r="P89" s="3" t="str">
        <f>IF(ISBLANK('Список деталей'!AB97),"",('Список деталей'!AB97))</f>
        <v/>
      </c>
      <c r="Q89" s="45">
        <f>VLOOKUP(IF(ISBLANK('Список деталей'!H97)=TRUE,7,'Список деталей'!H97),кромка,2,0)+VLOOKUP(IF(ISBLANK('Список деталей'!I97)=TRUE,7,'Список деталей'!I97),кромка,2,0)+'Список деталей'!C97</f>
        <v>0</v>
      </c>
      <c r="R89" s="45">
        <f>VLOOKUP(IF(ISBLANK('Список деталей'!F97)=TRUE,7,'Список деталей'!F97),кромка,2,0)+VLOOKUP(IF(ISBLANK('Список деталей'!G97)=TRUE,7,'Список деталей'!G97),кромка,2,0)+'Список деталей'!D97</f>
        <v>0</v>
      </c>
      <c r="S89" s="42">
        <f>IF('Список деталей'!H97="",0,1)+IF('Список деталей'!I97="",0,1)+'Список деталей'!C97</f>
        <v>0</v>
      </c>
      <c r="T89" s="42">
        <f>IF('Список деталей'!F97="",0,1)+IF('Список деталей'!G97="",0,1)+'Список деталей'!D97</f>
        <v>0</v>
      </c>
      <c r="U89" s="3" t="str">
        <f>IF(ISBLANK('Список деталей'!K97),"",'Список деталей'!K97)</f>
        <v/>
      </c>
      <c r="V89" s="3" t="str">
        <f>IF(AND('Список деталей'!C97&gt;849,'Список деталей'!D97&gt;849)=TRUE,1*'Список деталей'!E97,"")</f>
        <v/>
      </c>
    </row>
    <row r="90" spans="1:22" x14ac:dyDescent="0.45">
      <c r="A90" s="3">
        <f>IF(ISNUMBER('Список деталей'!A98), 'Список деталей'!A98, "")</f>
        <v>89</v>
      </c>
      <c r="B90" s="30" t="str">
        <f>IF(ISBLANK('Список деталей'!B98),"",'Список деталей'!B98)</f>
        <v/>
      </c>
      <c r="C90" s="3" t="str">
        <f>IF(ISNUMBER('Список деталей'!C98), $W$4,"")</f>
        <v/>
      </c>
      <c r="D90" s="3" t="str">
        <f>IF(ISNUMBER('Список деталей'!C98), 'Список деталей'!$I$4,"")</f>
        <v/>
      </c>
      <c r="E90" s="24" t="str">
        <f>IF(ISNUMBER('Список деталей'!E98), 'Список деталей'!E98, "")</f>
        <v/>
      </c>
      <c r="F90" s="24" t="str">
        <f>IF(ISNUMBER('Список деталей'!C98), 'Список деталей'!C98, "")</f>
        <v/>
      </c>
      <c r="G90" s="24" t="str">
        <f>IF(ISNUMBER('Список деталей'!D98), 'Список деталей'!D98, "")</f>
        <v/>
      </c>
      <c r="H90" s="3" t="str">
        <f t="shared" si="1"/>
        <v xml:space="preserve">    </v>
      </c>
      <c r="I90" s="3" t="str">
        <f>IF(ISBLANK('Список деталей'!F98),"",VLOOKUP('Список деталей'!F98,обозначениКромки,4,0))</f>
        <v/>
      </c>
      <c r="J90" s="25" t="str">
        <f>IF(ISBLANK('Список деталей'!G98),"",VLOOKUP('Список деталей'!G98,обозначениКромки,4,0))</f>
        <v/>
      </c>
      <c r="K90" s="25" t="str">
        <f>IF(ISBLANK('Список деталей'!H98),"",VLOOKUP('Список деталей'!H98,обозначениКромки,4,0))</f>
        <v/>
      </c>
      <c r="L90" s="25" t="str">
        <f>IF(ISBLANK('Список деталей'!I98),"",VLOOKUP('Список деталей'!I98,обозначениКромки,4,0))</f>
        <v/>
      </c>
      <c r="M90" s="24" t="str">
        <f>IF(ISBLANK('Список деталей'!Y98),"",('Список деталей'!Y98))</f>
        <v/>
      </c>
      <c r="N90" s="3" t="str">
        <f>IF(ISBLANK('Список деталей'!Z98),"",('Список деталей'!Z98))</f>
        <v/>
      </c>
      <c r="O90" s="3" t="str">
        <f>IF(ISBLANK('Список деталей'!AA98),"",('Список деталей'!AA98))</f>
        <v/>
      </c>
      <c r="P90" s="3" t="str">
        <f>IF(ISBLANK('Список деталей'!AB98),"",('Список деталей'!AB98))</f>
        <v/>
      </c>
      <c r="Q90" s="45">
        <f>VLOOKUP(IF(ISBLANK('Список деталей'!H98)=TRUE,7,'Список деталей'!H98),кромка,2,0)+VLOOKUP(IF(ISBLANK('Список деталей'!I98)=TRUE,7,'Список деталей'!I98),кромка,2,0)+'Список деталей'!C98</f>
        <v>0</v>
      </c>
      <c r="R90" s="45">
        <f>VLOOKUP(IF(ISBLANK('Список деталей'!F98)=TRUE,7,'Список деталей'!F98),кромка,2,0)+VLOOKUP(IF(ISBLANK('Список деталей'!G98)=TRUE,7,'Список деталей'!G98),кромка,2,0)+'Список деталей'!D98</f>
        <v>0</v>
      </c>
      <c r="S90" s="42">
        <f>IF('Список деталей'!H98="",0,1)+IF('Список деталей'!I98="",0,1)+'Список деталей'!C98</f>
        <v>0</v>
      </c>
      <c r="T90" s="42">
        <f>IF('Список деталей'!F98="",0,1)+IF('Список деталей'!G98="",0,1)+'Список деталей'!D98</f>
        <v>0</v>
      </c>
      <c r="U90" s="3" t="str">
        <f>IF(ISBLANK('Список деталей'!K98),"",'Список деталей'!K98)</f>
        <v/>
      </c>
      <c r="V90" s="3" t="str">
        <f>IF(AND('Список деталей'!C98&gt;849,'Список деталей'!D98&gt;849)=TRUE,1*'Список деталей'!E98,"")</f>
        <v/>
      </c>
    </row>
    <row r="91" spans="1:22" x14ac:dyDescent="0.45">
      <c r="A91" s="3">
        <f>IF(ISNUMBER('Список деталей'!A99), 'Список деталей'!A99, "")</f>
        <v>90</v>
      </c>
      <c r="B91" s="30" t="str">
        <f>IF(ISBLANK('Список деталей'!B99),"",'Список деталей'!B99)</f>
        <v/>
      </c>
      <c r="C91" s="3" t="str">
        <f>IF(ISNUMBER('Список деталей'!C99), $W$4,"")</f>
        <v/>
      </c>
      <c r="D91" s="3" t="str">
        <f>IF(ISNUMBER('Список деталей'!C99), 'Список деталей'!$I$4,"")</f>
        <v/>
      </c>
      <c r="E91" s="24" t="str">
        <f>IF(ISNUMBER('Список деталей'!E99), 'Список деталей'!E99, "")</f>
        <v/>
      </c>
      <c r="F91" s="24" t="str">
        <f>IF(ISNUMBER('Список деталей'!C99), 'Список деталей'!C99, "")</f>
        <v/>
      </c>
      <c r="G91" s="24" t="str">
        <f>IF(ISNUMBER('Список деталей'!D99), 'Список деталей'!D99, "")</f>
        <v/>
      </c>
      <c r="H91" s="3" t="str">
        <f t="shared" si="1"/>
        <v xml:space="preserve">    </v>
      </c>
      <c r="I91" s="3" t="str">
        <f>IF(ISBLANK('Список деталей'!F99),"",VLOOKUP('Список деталей'!F99,обозначениКромки,4,0))</f>
        <v/>
      </c>
      <c r="J91" s="25" t="str">
        <f>IF(ISBLANK('Список деталей'!G99),"",VLOOKUP('Список деталей'!G99,обозначениКромки,4,0))</f>
        <v/>
      </c>
      <c r="K91" s="25" t="str">
        <f>IF(ISBLANK('Список деталей'!H99),"",VLOOKUP('Список деталей'!H99,обозначениКромки,4,0))</f>
        <v/>
      </c>
      <c r="L91" s="25" t="str">
        <f>IF(ISBLANK('Список деталей'!I99),"",VLOOKUP('Список деталей'!I99,обозначениКромки,4,0))</f>
        <v/>
      </c>
      <c r="M91" s="24" t="str">
        <f>IF(ISBLANK('Список деталей'!Y99),"",('Список деталей'!Y99))</f>
        <v/>
      </c>
      <c r="N91" s="3" t="str">
        <f>IF(ISBLANK('Список деталей'!Z99),"",('Список деталей'!Z99))</f>
        <v/>
      </c>
      <c r="O91" s="3" t="str">
        <f>IF(ISBLANK('Список деталей'!AA99),"",('Список деталей'!AA99))</f>
        <v/>
      </c>
      <c r="P91" s="3" t="str">
        <f>IF(ISBLANK('Список деталей'!AB99),"",('Список деталей'!AB99))</f>
        <v/>
      </c>
      <c r="Q91" s="45">
        <f>VLOOKUP(IF(ISBLANK('Список деталей'!H99)=TRUE,7,'Список деталей'!H99),кромка,2,0)+VLOOKUP(IF(ISBLANK('Список деталей'!I99)=TRUE,7,'Список деталей'!I99),кромка,2,0)+'Список деталей'!C99</f>
        <v>0</v>
      </c>
      <c r="R91" s="45">
        <f>VLOOKUP(IF(ISBLANK('Список деталей'!F99)=TRUE,7,'Список деталей'!F99),кромка,2,0)+VLOOKUP(IF(ISBLANK('Список деталей'!G99)=TRUE,7,'Список деталей'!G99),кромка,2,0)+'Список деталей'!D99</f>
        <v>0</v>
      </c>
      <c r="S91" s="42">
        <f>IF('Список деталей'!H99="",0,1)+IF('Список деталей'!I99="",0,1)+'Список деталей'!C99</f>
        <v>0</v>
      </c>
      <c r="T91" s="42">
        <f>IF('Список деталей'!F99="",0,1)+IF('Список деталей'!G99="",0,1)+'Список деталей'!D99</f>
        <v>0</v>
      </c>
      <c r="U91" s="3" t="str">
        <f>IF(ISBLANK('Список деталей'!K99),"",'Список деталей'!K99)</f>
        <v/>
      </c>
      <c r="V91" s="3" t="str">
        <f>IF(AND('Список деталей'!C99&gt;849,'Список деталей'!D99&gt;849)=TRUE,1*'Список деталей'!E99,"")</f>
        <v/>
      </c>
    </row>
    <row r="92" spans="1:22" x14ac:dyDescent="0.45">
      <c r="A92" s="3">
        <f>IF(ISNUMBER('Список деталей'!A100), 'Список деталей'!A100, "")</f>
        <v>91</v>
      </c>
      <c r="B92" s="30" t="str">
        <f>IF(ISBLANK('Список деталей'!B100),"",'Список деталей'!B100)</f>
        <v/>
      </c>
      <c r="C92" s="3" t="str">
        <f>IF(ISNUMBER('Список деталей'!C100), $W$4,"")</f>
        <v/>
      </c>
      <c r="D92" s="3" t="str">
        <f>IF(ISNUMBER('Список деталей'!C100), 'Список деталей'!$I$4,"")</f>
        <v/>
      </c>
      <c r="E92" s="24" t="str">
        <f>IF(ISNUMBER('Список деталей'!E100), 'Список деталей'!E100, "")</f>
        <v/>
      </c>
      <c r="F92" s="24" t="str">
        <f>IF(ISNUMBER('Список деталей'!C100), 'Список деталей'!C100, "")</f>
        <v/>
      </c>
      <c r="G92" s="24" t="str">
        <f>IF(ISNUMBER('Список деталей'!D100), 'Список деталей'!D100, "")</f>
        <v/>
      </c>
      <c r="H92" s="3" t="str">
        <f t="shared" si="1"/>
        <v xml:space="preserve">    </v>
      </c>
      <c r="I92" s="3" t="str">
        <f>IF(ISBLANK('Список деталей'!F100),"",VLOOKUP('Список деталей'!F100,обозначениКромки,4,0))</f>
        <v/>
      </c>
      <c r="J92" s="25" t="str">
        <f>IF(ISBLANK('Список деталей'!G100),"",VLOOKUP('Список деталей'!G100,обозначениКромки,4,0))</f>
        <v/>
      </c>
      <c r="K92" s="25" t="str">
        <f>IF(ISBLANK('Список деталей'!H100),"",VLOOKUP('Список деталей'!H100,обозначениКромки,4,0))</f>
        <v/>
      </c>
      <c r="L92" s="25" t="str">
        <f>IF(ISBLANK('Список деталей'!I100),"",VLOOKUP('Список деталей'!I100,обозначениКромки,4,0))</f>
        <v/>
      </c>
      <c r="M92" s="24" t="str">
        <f>IF(ISBLANK('Список деталей'!Y100),"",('Список деталей'!Y100))</f>
        <v/>
      </c>
      <c r="N92" s="3" t="str">
        <f>IF(ISBLANK('Список деталей'!Z100),"",('Список деталей'!Z100))</f>
        <v/>
      </c>
      <c r="O92" s="3" t="str">
        <f>IF(ISBLANK('Список деталей'!AA100),"",('Список деталей'!AA100))</f>
        <v/>
      </c>
      <c r="P92" s="3" t="str">
        <f>IF(ISBLANK('Список деталей'!AB100),"",('Список деталей'!AB100))</f>
        <v/>
      </c>
      <c r="Q92" s="45">
        <f>VLOOKUP(IF(ISBLANK('Список деталей'!H100)=TRUE,7,'Список деталей'!H100),кромка,2,0)+VLOOKUP(IF(ISBLANK('Список деталей'!I100)=TRUE,7,'Список деталей'!I100),кромка,2,0)+'Список деталей'!C100</f>
        <v>0</v>
      </c>
      <c r="R92" s="45">
        <f>VLOOKUP(IF(ISBLANK('Список деталей'!F100)=TRUE,7,'Список деталей'!F100),кромка,2,0)+VLOOKUP(IF(ISBLANK('Список деталей'!G100)=TRUE,7,'Список деталей'!G100),кромка,2,0)+'Список деталей'!D100</f>
        <v>0</v>
      </c>
      <c r="S92" s="42">
        <f>IF('Список деталей'!H100="",0,1)+IF('Список деталей'!I100="",0,1)+'Список деталей'!C100</f>
        <v>0</v>
      </c>
      <c r="T92" s="42">
        <f>IF('Список деталей'!F100="",0,1)+IF('Список деталей'!G100="",0,1)+'Список деталей'!D100</f>
        <v>0</v>
      </c>
      <c r="U92" s="3" t="str">
        <f>IF(ISBLANK('Список деталей'!K100),"",'Список деталей'!K100)</f>
        <v/>
      </c>
      <c r="V92" s="3" t="str">
        <f>IF(AND('Список деталей'!C100&gt;849,'Список деталей'!D100&gt;849)=TRUE,1*'Список деталей'!E100,"")</f>
        <v/>
      </c>
    </row>
    <row r="93" spans="1:22" x14ac:dyDescent="0.45">
      <c r="A93" s="3">
        <f>IF(ISNUMBER('Список деталей'!A101), 'Список деталей'!A101, "")</f>
        <v>92</v>
      </c>
      <c r="B93" s="30" t="str">
        <f>IF(ISBLANK('Список деталей'!B101),"",'Список деталей'!B101)</f>
        <v/>
      </c>
      <c r="C93" s="3" t="str">
        <f>IF(ISNUMBER('Список деталей'!C101), $W$4,"")</f>
        <v/>
      </c>
      <c r="D93" s="3" t="str">
        <f>IF(ISNUMBER('Список деталей'!C101), 'Список деталей'!$I$4,"")</f>
        <v/>
      </c>
      <c r="E93" s="24" t="str">
        <f>IF(ISNUMBER('Список деталей'!E101), 'Список деталей'!E101, "")</f>
        <v/>
      </c>
      <c r="F93" s="24" t="str">
        <f>IF(ISNUMBER('Список деталей'!C101), 'Список деталей'!C101, "")</f>
        <v/>
      </c>
      <c r="G93" s="24" t="str">
        <f>IF(ISNUMBER('Список деталей'!D101), 'Список деталей'!D101, "")</f>
        <v/>
      </c>
      <c r="H93" s="3" t="str">
        <f t="shared" si="1"/>
        <v xml:space="preserve">    </v>
      </c>
      <c r="I93" s="3" t="str">
        <f>IF(ISBLANK('Список деталей'!F101),"",VLOOKUP('Список деталей'!F101,обозначениКромки,4,0))</f>
        <v/>
      </c>
      <c r="J93" s="25" t="str">
        <f>IF(ISBLANK('Список деталей'!G101),"",VLOOKUP('Список деталей'!G101,обозначениКромки,4,0))</f>
        <v/>
      </c>
      <c r="K93" s="25" t="str">
        <f>IF(ISBLANK('Список деталей'!H101),"",VLOOKUP('Список деталей'!H101,обозначениКромки,4,0))</f>
        <v/>
      </c>
      <c r="L93" s="25" t="str">
        <f>IF(ISBLANK('Список деталей'!I101),"",VLOOKUP('Список деталей'!I101,обозначениКромки,4,0))</f>
        <v/>
      </c>
      <c r="M93" s="24" t="str">
        <f>IF(ISBLANK('Список деталей'!Y101),"",('Список деталей'!Y101))</f>
        <v/>
      </c>
      <c r="N93" s="3" t="str">
        <f>IF(ISBLANK('Список деталей'!Z101),"",('Список деталей'!Z101))</f>
        <v/>
      </c>
      <c r="O93" s="3" t="str">
        <f>IF(ISBLANK('Список деталей'!AA101),"",('Список деталей'!AA101))</f>
        <v/>
      </c>
      <c r="P93" s="3" t="str">
        <f>IF(ISBLANK('Список деталей'!AB101),"",('Список деталей'!AB101))</f>
        <v/>
      </c>
      <c r="Q93" s="45">
        <f>VLOOKUP(IF(ISBLANK('Список деталей'!H101)=TRUE,7,'Список деталей'!H101),кромка,2,0)+VLOOKUP(IF(ISBLANK('Список деталей'!I101)=TRUE,7,'Список деталей'!I101),кромка,2,0)+'Список деталей'!C101</f>
        <v>0</v>
      </c>
      <c r="R93" s="45">
        <f>VLOOKUP(IF(ISBLANK('Список деталей'!F101)=TRUE,7,'Список деталей'!F101),кромка,2,0)+VLOOKUP(IF(ISBLANK('Список деталей'!G101)=TRUE,7,'Список деталей'!G101),кромка,2,0)+'Список деталей'!D101</f>
        <v>0</v>
      </c>
      <c r="S93" s="42">
        <f>IF('Список деталей'!H101="",0,1)+IF('Список деталей'!I101="",0,1)+'Список деталей'!C101</f>
        <v>0</v>
      </c>
      <c r="T93" s="42">
        <f>IF('Список деталей'!F101="",0,1)+IF('Список деталей'!G101="",0,1)+'Список деталей'!D101</f>
        <v>0</v>
      </c>
      <c r="U93" s="3" t="str">
        <f>IF(ISBLANK('Список деталей'!K101),"",'Список деталей'!K101)</f>
        <v/>
      </c>
      <c r="V93" s="3" t="str">
        <f>IF(AND('Список деталей'!C101&gt;849,'Список деталей'!D101&gt;849)=TRUE,1*'Список деталей'!E101,"")</f>
        <v/>
      </c>
    </row>
    <row r="94" spans="1:22" x14ac:dyDescent="0.45">
      <c r="A94" s="3">
        <f>IF(ISNUMBER('Список деталей'!A102), 'Список деталей'!A102, "")</f>
        <v>93</v>
      </c>
      <c r="B94" s="30" t="str">
        <f>IF(ISBLANK('Список деталей'!B102),"",'Список деталей'!B102)</f>
        <v/>
      </c>
      <c r="C94" s="3" t="str">
        <f>IF(ISNUMBER('Список деталей'!C102), $W$4,"")</f>
        <v/>
      </c>
      <c r="D94" s="3" t="str">
        <f>IF(ISNUMBER('Список деталей'!C102), 'Список деталей'!$I$4,"")</f>
        <v/>
      </c>
      <c r="E94" s="24" t="str">
        <f>IF(ISNUMBER('Список деталей'!E102), 'Список деталей'!E102, "")</f>
        <v/>
      </c>
      <c r="F94" s="24" t="str">
        <f>IF(ISNUMBER('Список деталей'!C102), 'Список деталей'!C102, "")</f>
        <v/>
      </c>
      <c r="G94" s="24" t="str">
        <f>IF(ISNUMBER('Список деталей'!D102), 'Список деталей'!D102, "")</f>
        <v/>
      </c>
      <c r="H94" s="3" t="str">
        <f t="shared" si="1"/>
        <v xml:space="preserve">    </v>
      </c>
      <c r="I94" s="3" t="str">
        <f>IF(ISBLANK('Список деталей'!F102),"",VLOOKUP('Список деталей'!F102,обозначениКромки,4,0))</f>
        <v/>
      </c>
      <c r="J94" s="25" t="str">
        <f>IF(ISBLANK('Список деталей'!G102),"",VLOOKUP('Список деталей'!G102,обозначениКромки,4,0))</f>
        <v/>
      </c>
      <c r="K94" s="25" t="str">
        <f>IF(ISBLANK('Список деталей'!H102),"",VLOOKUP('Список деталей'!H102,обозначениКромки,4,0))</f>
        <v/>
      </c>
      <c r="L94" s="25" t="str">
        <f>IF(ISBLANK('Список деталей'!I102),"",VLOOKUP('Список деталей'!I102,обозначениКромки,4,0))</f>
        <v/>
      </c>
      <c r="M94" s="24" t="str">
        <f>IF(ISBLANK('Список деталей'!Y102),"",('Список деталей'!Y102))</f>
        <v/>
      </c>
      <c r="N94" s="3" t="str">
        <f>IF(ISBLANK('Список деталей'!Z102),"",('Список деталей'!Z102))</f>
        <v/>
      </c>
      <c r="O94" s="3" t="str">
        <f>IF(ISBLANK('Список деталей'!AA102),"",('Список деталей'!AA102))</f>
        <v/>
      </c>
      <c r="P94" s="3" t="str">
        <f>IF(ISBLANK('Список деталей'!AB102),"",('Список деталей'!AB102))</f>
        <v/>
      </c>
      <c r="Q94" s="45">
        <f>VLOOKUP(IF(ISBLANK('Список деталей'!H102)=TRUE,7,'Список деталей'!H102),кромка,2,0)+VLOOKUP(IF(ISBLANK('Список деталей'!I102)=TRUE,7,'Список деталей'!I102),кромка,2,0)+'Список деталей'!C102</f>
        <v>0</v>
      </c>
      <c r="R94" s="45">
        <f>VLOOKUP(IF(ISBLANK('Список деталей'!F102)=TRUE,7,'Список деталей'!F102),кромка,2,0)+VLOOKUP(IF(ISBLANK('Список деталей'!G102)=TRUE,7,'Список деталей'!G102),кромка,2,0)+'Список деталей'!D102</f>
        <v>0</v>
      </c>
      <c r="S94" s="42">
        <f>IF('Список деталей'!H102="",0,1)+IF('Список деталей'!I102="",0,1)+'Список деталей'!C102</f>
        <v>0</v>
      </c>
      <c r="T94" s="42">
        <f>IF('Список деталей'!F102="",0,1)+IF('Список деталей'!G102="",0,1)+'Список деталей'!D102</f>
        <v>0</v>
      </c>
      <c r="U94" s="3" t="str">
        <f>IF(ISBLANK('Список деталей'!K102),"",'Список деталей'!K102)</f>
        <v/>
      </c>
      <c r="V94" s="3" t="str">
        <f>IF(AND('Список деталей'!C102&gt;849,'Список деталей'!D102&gt;849)=TRUE,1*'Список деталей'!E102,"")</f>
        <v/>
      </c>
    </row>
    <row r="95" spans="1:22" x14ac:dyDescent="0.45">
      <c r="A95" s="3">
        <f>IF(ISNUMBER('Список деталей'!A103), 'Список деталей'!A103, "")</f>
        <v>94</v>
      </c>
      <c r="B95" s="30" t="str">
        <f>IF(ISBLANK('Список деталей'!B103),"",'Список деталей'!B103)</f>
        <v/>
      </c>
      <c r="C95" s="3" t="str">
        <f>IF(ISNUMBER('Список деталей'!C103), $W$4,"")</f>
        <v/>
      </c>
      <c r="D95" s="3" t="str">
        <f>IF(ISNUMBER('Список деталей'!C103), 'Список деталей'!$I$4,"")</f>
        <v/>
      </c>
      <c r="E95" s="24" t="str">
        <f>IF(ISNUMBER('Список деталей'!E103), 'Список деталей'!E103, "")</f>
        <v/>
      </c>
      <c r="F95" s="24" t="str">
        <f>IF(ISNUMBER('Список деталей'!C103), 'Список деталей'!C103, "")</f>
        <v/>
      </c>
      <c r="G95" s="24" t="str">
        <f>IF(ISNUMBER('Список деталей'!D103), 'Список деталей'!D103, "")</f>
        <v/>
      </c>
      <c r="H95" s="3" t="str">
        <f t="shared" si="1"/>
        <v xml:space="preserve">    </v>
      </c>
      <c r="I95" s="3" t="str">
        <f>IF(ISBLANK('Список деталей'!F103),"",VLOOKUP('Список деталей'!F103,обозначениКромки,4,0))</f>
        <v/>
      </c>
      <c r="J95" s="25" t="str">
        <f>IF(ISBLANK('Список деталей'!G103),"",VLOOKUP('Список деталей'!G103,обозначениКромки,4,0))</f>
        <v/>
      </c>
      <c r="K95" s="25" t="str">
        <f>IF(ISBLANK('Список деталей'!H103),"",VLOOKUP('Список деталей'!H103,обозначениКромки,4,0))</f>
        <v/>
      </c>
      <c r="L95" s="25" t="str">
        <f>IF(ISBLANK('Список деталей'!I103),"",VLOOKUP('Список деталей'!I103,обозначениКромки,4,0))</f>
        <v/>
      </c>
      <c r="M95" s="24" t="str">
        <f>IF(ISBLANK('Список деталей'!Y103),"",('Список деталей'!Y103))</f>
        <v/>
      </c>
      <c r="N95" s="3" t="str">
        <f>IF(ISBLANK('Список деталей'!Z103),"",('Список деталей'!Z103))</f>
        <v/>
      </c>
      <c r="O95" s="3" t="str">
        <f>IF(ISBLANK('Список деталей'!AA103),"",('Список деталей'!AA103))</f>
        <v/>
      </c>
      <c r="P95" s="3" t="str">
        <f>IF(ISBLANK('Список деталей'!AB103),"",('Список деталей'!AB103))</f>
        <v/>
      </c>
      <c r="Q95" s="45">
        <f>VLOOKUP(IF(ISBLANK('Список деталей'!H103)=TRUE,7,'Список деталей'!H103),кромка,2,0)+VLOOKUP(IF(ISBLANK('Список деталей'!I103)=TRUE,7,'Список деталей'!I103),кромка,2,0)+'Список деталей'!C103</f>
        <v>0</v>
      </c>
      <c r="R95" s="45">
        <f>VLOOKUP(IF(ISBLANK('Список деталей'!F103)=TRUE,7,'Список деталей'!F103),кромка,2,0)+VLOOKUP(IF(ISBLANK('Список деталей'!G103)=TRUE,7,'Список деталей'!G103),кромка,2,0)+'Список деталей'!D103</f>
        <v>0</v>
      </c>
      <c r="S95" s="42">
        <f>IF('Список деталей'!H103="",0,1)+IF('Список деталей'!I103="",0,1)+'Список деталей'!C103</f>
        <v>0</v>
      </c>
      <c r="T95" s="42">
        <f>IF('Список деталей'!F103="",0,1)+IF('Список деталей'!G103="",0,1)+'Список деталей'!D103</f>
        <v>0</v>
      </c>
      <c r="U95" s="3" t="str">
        <f>IF(ISBLANK('Список деталей'!K103),"",'Список деталей'!K103)</f>
        <v/>
      </c>
      <c r="V95" s="3" t="str">
        <f>IF(AND('Список деталей'!C103&gt;849,'Список деталей'!D103&gt;849)=TRUE,1*'Список деталей'!E103,"")</f>
        <v/>
      </c>
    </row>
    <row r="96" spans="1:22" x14ac:dyDescent="0.45">
      <c r="A96" s="3">
        <f>IF(ISNUMBER('Список деталей'!A104), 'Список деталей'!A104, "")</f>
        <v>95</v>
      </c>
      <c r="B96" s="30" t="str">
        <f>IF(ISBLANK('Список деталей'!B104),"",'Список деталей'!B104)</f>
        <v/>
      </c>
      <c r="C96" s="3" t="str">
        <f>IF(ISNUMBER('Список деталей'!C104), $W$4,"")</f>
        <v/>
      </c>
      <c r="D96" s="3" t="str">
        <f>IF(ISNUMBER('Список деталей'!C104), 'Список деталей'!$I$4,"")</f>
        <v/>
      </c>
      <c r="E96" s="24" t="str">
        <f>IF(ISNUMBER('Список деталей'!E104), 'Список деталей'!E104, "")</f>
        <v/>
      </c>
      <c r="F96" s="24" t="str">
        <f>IF(ISNUMBER('Список деталей'!C104), 'Список деталей'!C104, "")</f>
        <v/>
      </c>
      <c r="G96" s="24" t="str">
        <f>IF(ISNUMBER('Список деталей'!D104), 'Список деталей'!D104, "")</f>
        <v/>
      </c>
      <c r="H96" s="3" t="str">
        <f t="shared" si="1"/>
        <v xml:space="preserve">    </v>
      </c>
      <c r="I96" s="3" t="str">
        <f>IF(ISBLANK('Список деталей'!F104),"",VLOOKUP('Список деталей'!F104,обозначениКромки,4,0))</f>
        <v/>
      </c>
      <c r="J96" s="25" t="str">
        <f>IF(ISBLANK('Список деталей'!G104),"",VLOOKUP('Список деталей'!G104,обозначениКромки,4,0))</f>
        <v/>
      </c>
      <c r="K96" s="25" t="str">
        <f>IF(ISBLANK('Список деталей'!H104),"",VLOOKUP('Список деталей'!H104,обозначениКромки,4,0))</f>
        <v/>
      </c>
      <c r="L96" s="25" t="str">
        <f>IF(ISBLANK('Список деталей'!I104),"",VLOOKUP('Список деталей'!I104,обозначениКромки,4,0))</f>
        <v/>
      </c>
      <c r="M96" s="24" t="str">
        <f>IF(ISBLANK('Список деталей'!Y104),"",('Список деталей'!Y104))</f>
        <v/>
      </c>
      <c r="N96" s="3" t="str">
        <f>IF(ISBLANK('Список деталей'!Z104),"",('Список деталей'!Z104))</f>
        <v/>
      </c>
      <c r="O96" s="3" t="str">
        <f>IF(ISBLANK('Список деталей'!AA104),"",('Список деталей'!AA104))</f>
        <v/>
      </c>
      <c r="P96" s="3" t="str">
        <f>IF(ISBLANK('Список деталей'!AB104),"",('Список деталей'!AB104))</f>
        <v/>
      </c>
      <c r="Q96" s="45">
        <f>VLOOKUP(IF(ISBLANK('Список деталей'!H104)=TRUE,7,'Список деталей'!H104),кромка,2,0)+VLOOKUP(IF(ISBLANK('Список деталей'!I104)=TRUE,7,'Список деталей'!I104),кромка,2,0)+'Список деталей'!C104</f>
        <v>0</v>
      </c>
      <c r="R96" s="45">
        <f>VLOOKUP(IF(ISBLANK('Список деталей'!F104)=TRUE,7,'Список деталей'!F104),кромка,2,0)+VLOOKUP(IF(ISBLANK('Список деталей'!G104)=TRUE,7,'Список деталей'!G104),кромка,2,0)+'Список деталей'!D104</f>
        <v>0</v>
      </c>
      <c r="S96" s="42">
        <f>IF('Список деталей'!H104="",0,1)+IF('Список деталей'!I104="",0,1)+'Список деталей'!C104</f>
        <v>0</v>
      </c>
      <c r="T96" s="42">
        <f>IF('Список деталей'!F104="",0,1)+IF('Список деталей'!G104="",0,1)+'Список деталей'!D104</f>
        <v>0</v>
      </c>
      <c r="U96" s="3" t="str">
        <f>IF(ISBLANK('Список деталей'!K104),"",'Список деталей'!K104)</f>
        <v/>
      </c>
      <c r="V96" s="3" t="str">
        <f>IF(AND('Список деталей'!C104&gt;849,'Список деталей'!D104&gt;849)=TRUE,1*'Список деталей'!E104,"")</f>
        <v/>
      </c>
    </row>
    <row r="97" spans="1:22" x14ac:dyDescent="0.45">
      <c r="A97" s="3">
        <f>IF(ISNUMBER('Список деталей'!A105), 'Список деталей'!A105, "")</f>
        <v>96</v>
      </c>
      <c r="B97" s="30" t="str">
        <f>IF(ISBLANK('Список деталей'!B105),"",'Список деталей'!B105)</f>
        <v/>
      </c>
      <c r="C97" s="3" t="str">
        <f>IF(ISNUMBER('Список деталей'!C105), $W$4,"")</f>
        <v/>
      </c>
      <c r="D97" s="3" t="str">
        <f>IF(ISNUMBER('Список деталей'!C105), 'Список деталей'!$I$4,"")</f>
        <v/>
      </c>
      <c r="E97" s="24" t="str">
        <f>IF(ISNUMBER('Список деталей'!E105), 'Список деталей'!E105, "")</f>
        <v/>
      </c>
      <c r="F97" s="24" t="str">
        <f>IF(ISNUMBER('Список деталей'!C105), 'Список деталей'!C105, "")</f>
        <v/>
      </c>
      <c r="G97" s="24" t="str">
        <f>IF(ISNUMBER('Список деталей'!D105), 'Список деталей'!D105, "")</f>
        <v/>
      </c>
      <c r="H97" s="3" t="str">
        <f t="shared" si="1"/>
        <v xml:space="preserve">    </v>
      </c>
      <c r="I97" s="3" t="str">
        <f>IF(ISBLANK('Список деталей'!F105),"",VLOOKUP('Список деталей'!F105,обозначениКромки,4,0))</f>
        <v/>
      </c>
      <c r="J97" s="25" t="str">
        <f>IF(ISBLANK('Список деталей'!G105),"",VLOOKUP('Список деталей'!G105,обозначениКромки,4,0))</f>
        <v/>
      </c>
      <c r="K97" s="25" t="str">
        <f>IF(ISBLANK('Список деталей'!H105),"",VLOOKUP('Список деталей'!H105,обозначениКромки,4,0))</f>
        <v/>
      </c>
      <c r="L97" s="25" t="str">
        <f>IF(ISBLANK('Список деталей'!I105),"",VLOOKUP('Список деталей'!I105,обозначениКромки,4,0))</f>
        <v/>
      </c>
      <c r="M97" s="24" t="str">
        <f>IF(ISBLANK('Список деталей'!Y105),"",('Список деталей'!Y105))</f>
        <v/>
      </c>
      <c r="N97" s="3" t="str">
        <f>IF(ISBLANK('Список деталей'!Z105),"",('Список деталей'!Z105))</f>
        <v/>
      </c>
      <c r="O97" s="3" t="str">
        <f>IF(ISBLANK('Список деталей'!AA105),"",('Список деталей'!AA105))</f>
        <v/>
      </c>
      <c r="P97" s="3" t="str">
        <f>IF(ISBLANK('Список деталей'!AB105),"",('Список деталей'!AB105))</f>
        <v/>
      </c>
      <c r="Q97" s="45">
        <f>VLOOKUP(IF(ISBLANK('Список деталей'!H105)=TRUE,7,'Список деталей'!H105),кромка,2,0)+VLOOKUP(IF(ISBLANK('Список деталей'!I105)=TRUE,7,'Список деталей'!I105),кромка,2,0)+'Список деталей'!C105</f>
        <v>0</v>
      </c>
      <c r="R97" s="45">
        <f>VLOOKUP(IF(ISBLANK('Список деталей'!F105)=TRUE,7,'Список деталей'!F105),кромка,2,0)+VLOOKUP(IF(ISBLANK('Список деталей'!G105)=TRUE,7,'Список деталей'!G105),кромка,2,0)+'Список деталей'!D105</f>
        <v>0</v>
      </c>
      <c r="S97" s="42">
        <f>IF('Список деталей'!H105="",0,1)+IF('Список деталей'!I105="",0,1)+'Список деталей'!C105</f>
        <v>0</v>
      </c>
      <c r="T97" s="42">
        <f>IF('Список деталей'!F105="",0,1)+IF('Список деталей'!G105="",0,1)+'Список деталей'!D105</f>
        <v>0</v>
      </c>
      <c r="U97" s="3" t="str">
        <f>IF(ISBLANK('Список деталей'!K105),"",'Список деталей'!K105)</f>
        <v/>
      </c>
      <c r="V97" s="3" t="str">
        <f>IF(AND('Список деталей'!C105&gt;849,'Список деталей'!D105&gt;849)=TRUE,1*'Список деталей'!E105,"")</f>
        <v/>
      </c>
    </row>
    <row r="98" spans="1:22" x14ac:dyDescent="0.45">
      <c r="A98" s="3">
        <f>IF(ISNUMBER('Список деталей'!A106), 'Список деталей'!A106, "")</f>
        <v>97</v>
      </c>
      <c r="B98" s="30" t="str">
        <f>IF(ISBLANK('Список деталей'!B106),"",'Список деталей'!B106)</f>
        <v/>
      </c>
      <c r="C98" s="3" t="str">
        <f>IF(ISNUMBER('Список деталей'!C106), $W$4,"")</f>
        <v/>
      </c>
      <c r="D98" s="3" t="str">
        <f>IF(ISNUMBER('Список деталей'!C106), 'Список деталей'!$I$4,"")</f>
        <v/>
      </c>
      <c r="E98" s="24" t="str">
        <f>IF(ISNUMBER('Список деталей'!E106), 'Список деталей'!E106, "")</f>
        <v/>
      </c>
      <c r="F98" s="24" t="str">
        <f>IF(ISNUMBER('Список деталей'!C106), 'Список деталей'!C106, "")</f>
        <v/>
      </c>
      <c r="G98" s="24" t="str">
        <f>IF(ISNUMBER('Список деталей'!D106), 'Список деталей'!D106, "")</f>
        <v/>
      </c>
      <c r="H98" s="3" t="str">
        <f t="shared" si="1"/>
        <v xml:space="preserve">    </v>
      </c>
      <c r="I98" s="3" t="str">
        <f>IF(ISBLANK('Список деталей'!F106),"",VLOOKUP('Список деталей'!F106,обозначениКромки,4,0))</f>
        <v/>
      </c>
      <c r="J98" s="25" t="str">
        <f>IF(ISBLANK('Список деталей'!G106),"",VLOOKUP('Список деталей'!G106,обозначениКромки,4,0))</f>
        <v/>
      </c>
      <c r="K98" s="25" t="str">
        <f>IF(ISBLANK('Список деталей'!H106),"",VLOOKUP('Список деталей'!H106,обозначениКромки,4,0))</f>
        <v/>
      </c>
      <c r="L98" s="25" t="str">
        <f>IF(ISBLANK('Список деталей'!I106),"",VLOOKUP('Список деталей'!I106,обозначениКромки,4,0))</f>
        <v/>
      </c>
      <c r="M98" s="24" t="str">
        <f>IF(ISBLANK('Список деталей'!Y106),"",('Список деталей'!Y106))</f>
        <v/>
      </c>
      <c r="N98" s="3" t="str">
        <f>IF(ISBLANK('Список деталей'!Z106),"",('Список деталей'!Z106))</f>
        <v/>
      </c>
      <c r="O98" s="3" t="str">
        <f>IF(ISBLANK('Список деталей'!AA106),"",('Список деталей'!AA106))</f>
        <v/>
      </c>
      <c r="P98" s="3" t="str">
        <f>IF(ISBLANK('Список деталей'!AB106),"",('Список деталей'!AB106))</f>
        <v/>
      </c>
      <c r="Q98" s="45">
        <f>VLOOKUP(IF(ISBLANK('Список деталей'!H106)=TRUE,7,'Список деталей'!H106),кромка,2,0)+VLOOKUP(IF(ISBLANK('Список деталей'!I106)=TRUE,7,'Список деталей'!I106),кромка,2,0)+'Список деталей'!C106</f>
        <v>0</v>
      </c>
      <c r="R98" s="45">
        <f>VLOOKUP(IF(ISBLANK('Список деталей'!F106)=TRUE,7,'Список деталей'!F106),кромка,2,0)+VLOOKUP(IF(ISBLANK('Список деталей'!G106)=TRUE,7,'Список деталей'!G106),кромка,2,0)+'Список деталей'!D106</f>
        <v>0</v>
      </c>
      <c r="S98" s="42">
        <f>IF('Список деталей'!H106="",0,1)+IF('Список деталей'!I106="",0,1)+'Список деталей'!C106</f>
        <v>0</v>
      </c>
      <c r="T98" s="42">
        <f>IF('Список деталей'!F106="",0,1)+IF('Список деталей'!G106="",0,1)+'Список деталей'!D106</f>
        <v>0</v>
      </c>
      <c r="U98" s="3" t="str">
        <f>IF(ISBLANK('Список деталей'!K106),"",'Список деталей'!K106)</f>
        <v/>
      </c>
      <c r="V98" s="3" t="str">
        <f>IF(AND('Список деталей'!C106&gt;849,'Список деталей'!D106&gt;849)=TRUE,1*'Список деталей'!E106,"")</f>
        <v/>
      </c>
    </row>
    <row r="99" spans="1:22" x14ac:dyDescent="0.45">
      <c r="A99" s="3">
        <f>IF(ISNUMBER('Список деталей'!A107), 'Список деталей'!A107, "")</f>
        <v>98</v>
      </c>
      <c r="B99" s="30" t="str">
        <f>IF(ISBLANK('Список деталей'!B107),"",'Список деталей'!B107)</f>
        <v/>
      </c>
      <c r="C99" s="3" t="str">
        <f>IF(ISNUMBER('Список деталей'!C107), $W$4,"")</f>
        <v/>
      </c>
      <c r="D99" s="3" t="str">
        <f>IF(ISNUMBER('Список деталей'!C107), 'Список деталей'!$I$4,"")</f>
        <v/>
      </c>
      <c r="E99" s="24" t="str">
        <f>IF(ISNUMBER('Список деталей'!E107), 'Список деталей'!E107, "")</f>
        <v/>
      </c>
      <c r="F99" s="24" t="str">
        <f>IF(ISNUMBER('Список деталей'!C107), 'Список деталей'!C107, "")</f>
        <v/>
      </c>
      <c r="G99" s="24" t="str">
        <f>IF(ISNUMBER('Список деталей'!D107), 'Список деталей'!D107, "")</f>
        <v/>
      </c>
      <c r="H99" s="3" t="str">
        <f t="shared" si="1"/>
        <v xml:space="preserve">    </v>
      </c>
      <c r="I99" s="3" t="str">
        <f>IF(ISBLANK('Список деталей'!F107),"",VLOOKUP('Список деталей'!F107,обозначениКромки,4,0))</f>
        <v/>
      </c>
      <c r="J99" s="25" t="str">
        <f>IF(ISBLANK('Список деталей'!G107),"",VLOOKUP('Список деталей'!G107,обозначениКромки,4,0))</f>
        <v/>
      </c>
      <c r="K99" s="25" t="str">
        <f>IF(ISBLANK('Список деталей'!H107),"",VLOOKUP('Список деталей'!H107,обозначениКромки,4,0))</f>
        <v/>
      </c>
      <c r="L99" s="25" t="str">
        <f>IF(ISBLANK('Список деталей'!I107),"",VLOOKUP('Список деталей'!I107,обозначениКромки,4,0))</f>
        <v/>
      </c>
      <c r="M99" s="24" t="str">
        <f>IF(ISBLANK('Список деталей'!Y107),"",('Список деталей'!Y107))</f>
        <v/>
      </c>
      <c r="N99" s="3" t="str">
        <f>IF(ISBLANK('Список деталей'!Z107),"",('Список деталей'!Z107))</f>
        <v/>
      </c>
      <c r="O99" s="3" t="str">
        <f>IF(ISBLANK('Список деталей'!AA107),"",('Список деталей'!AA107))</f>
        <v/>
      </c>
      <c r="P99" s="3" t="str">
        <f>IF(ISBLANK('Список деталей'!AB107),"",('Список деталей'!AB107))</f>
        <v/>
      </c>
      <c r="Q99" s="45">
        <f>VLOOKUP(IF(ISBLANK('Список деталей'!H107)=TRUE,7,'Список деталей'!H107),кромка,2,0)+VLOOKUP(IF(ISBLANK('Список деталей'!I107)=TRUE,7,'Список деталей'!I107),кромка,2,0)+'Список деталей'!C107</f>
        <v>0</v>
      </c>
      <c r="R99" s="45">
        <f>VLOOKUP(IF(ISBLANK('Список деталей'!F107)=TRUE,7,'Список деталей'!F107),кромка,2,0)+VLOOKUP(IF(ISBLANK('Список деталей'!G107)=TRUE,7,'Список деталей'!G107),кромка,2,0)+'Список деталей'!D107</f>
        <v>0</v>
      </c>
      <c r="S99" s="42">
        <f>IF('Список деталей'!H107="",0,1)+IF('Список деталей'!I107="",0,1)+'Список деталей'!C107</f>
        <v>0</v>
      </c>
      <c r="T99" s="42">
        <f>IF('Список деталей'!F107="",0,1)+IF('Список деталей'!G107="",0,1)+'Список деталей'!D107</f>
        <v>0</v>
      </c>
      <c r="U99" s="3" t="str">
        <f>IF(ISBLANK('Список деталей'!K107),"",'Список деталей'!K107)</f>
        <v/>
      </c>
      <c r="V99" s="3" t="str">
        <f>IF(AND('Список деталей'!C107&gt;849,'Список деталей'!D107&gt;849)=TRUE,1*'Список деталей'!E107,"")</f>
        <v/>
      </c>
    </row>
    <row r="100" spans="1:22" x14ac:dyDescent="0.45">
      <c r="A100" s="3">
        <f>IF(ISNUMBER('Список деталей'!A108), 'Список деталей'!A108, "")</f>
        <v>99</v>
      </c>
      <c r="B100" s="30" t="str">
        <f>IF(ISBLANK('Список деталей'!B108),"",'Список деталей'!B108)</f>
        <v/>
      </c>
      <c r="C100" s="3" t="str">
        <f>IF(ISNUMBER('Список деталей'!C108), $W$4,"")</f>
        <v/>
      </c>
      <c r="D100" s="3" t="str">
        <f>IF(ISNUMBER('Список деталей'!C108), 'Список деталей'!$I$4,"")</f>
        <v/>
      </c>
      <c r="E100" s="24" t="str">
        <f>IF(ISNUMBER('Список деталей'!E108), 'Список деталей'!E108, "")</f>
        <v/>
      </c>
      <c r="F100" s="24" t="str">
        <f>IF(ISNUMBER('Список деталей'!C108), 'Список деталей'!C108, "")</f>
        <v/>
      </c>
      <c r="G100" s="24" t="str">
        <f>IF(ISNUMBER('Список деталей'!D108), 'Список деталей'!D108, "")</f>
        <v/>
      </c>
      <c r="H100" s="3" t="str">
        <f t="shared" si="1"/>
        <v xml:space="preserve">    </v>
      </c>
      <c r="I100" s="3" t="str">
        <f>IF(ISBLANK('Список деталей'!F108),"",VLOOKUP('Список деталей'!F108,обозначениКромки,4,0))</f>
        <v/>
      </c>
      <c r="J100" s="25" t="str">
        <f>IF(ISBLANK('Список деталей'!G108),"",VLOOKUP('Список деталей'!G108,обозначениКромки,4,0))</f>
        <v/>
      </c>
      <c r="K100" s="25" t="str">
        <f>IF(ISBLANK('Список деталей'!H108),"",VLOOKUP('Список деталей'!H108,обозначениКромки,4,0))</f>
        <v/>
      </c>
      <c r="L100" s="25" t="str">
        <f>IF(ISBLANK('Список деталей'!I108),"",VLOOKUP('Список деталей'!I108,обозначениКромки,4,0))</f>
        <v/>
      </c>
      <c r="M100" s="24" t="str">
        <f>IF(ISBLANK('Список деталей'!Y108),"",('Список деталей'!Y108))</f>
        <v/>
      </c>
      <c r="N100" s="3" t="str">
        <f>IF(ISBLANK('Список деталей'!Z108),"",('Список деталей'!Z108))</f>
        <v/>
      </c>
      <c r="O100" s="3" t="str">
        <f>IF(ISBLANK('Список деталей'!AA108),"",('Список деталей'!AA108))</f>
        <v/>
      </c>
      <c r="P100" s="3" t="str">
        <f>IF(ISBLANK('Список деталей'!AB108),"",('Список деталей'!AB108))</f>
        <v/>
      </c>
      <c r="Q100" s="45">
        <f>VLOOKUP(IF(ISBLANK('Список деталей'!H108)=TRUE,7,'Список деталей'!H108),кромка,2,0)+VLOOKUP(IF(ISBLANK('Список деталей'!I108)=TRUE,7,'Список деталей'!I108),кромка,2,0)+'Список деталей'!C108</f>
        <v>0</v>
      </c>
      <c r="R100" s="45">
        <f>VLOOKUP(IF(ISBLANK('Список деталей'!F108)=TRUE,7,'Список деталей'!F108),кромка,2,0)+VLOOKUP(IF(ISBLANK('Список деталей'!G108)=TRUE,7,'Список деталей'!G108),кромка,2,0)+'Список деталей'!D108</f>
        <v>0</v>
      </c>
      <c r="S100" s="42">
        <f>IF('Список деталей'!H108="",0,1)+IF('Список деталей'!I108="",0,1)+'Список деталей'!C108</f>
        <v>0</v>
      </c>
      <c r="T100" s="42">
        <f>IF('Список деталей'!F108="",0,1)+IF('Список деталей'!G108="",0,1)+'Список деталей'!D108</f>
        <v>0</v>
      </c>
      <c r="U100" s="3" t="str">
        <f>IF(ISBLANK('Список деталей'!K108),"",'Список деталей'!K108)</f>
        <v/>
      </c>
      <c r="V100" s="3" t="str">
        <f>IF(AND('Список деталей'!C108&gt;849,'Список деталей'!D108&gt;849)=TRUE,1*'Список деталей'!E108,"")</f>
        <v/>
      </c>
    </row>
    <row r="101" spans="1:22" x14ac:dyDescent="0.45">
      <c r="A101" s="3">
        <f>IF(ISNUMBER('Список деталей'!A109), 'Список деталей'!A109, "")</f>
        <v>100</v>
      </c>
      <c r="B101" s="30" t="str">
        <f>IF(ISBLANK('Список деталей'!B109),"",'Список деталей'!B109)</f>
        <v/>
      </c>
      <c r="C101" s="3" t="str">
        <f>IF(ISNUMBER('Список деталей'!C109), $W$4,"")</f>
        <v/>
      </c>
      <c r="D101" s="3" t="str">
        <f>IF(ISNUMBER('Список деталей'!C109), 'Список деталей'!$I$4,"")</f>
        <v/>
      </c>
      <c r="E101" s="24" t="str">
        <f>IF(ISNUMBER('Список деталей'!E109), 'Список деталей'!E109, "")</f>
        <v/>
      </c>
      <c r="F101" s="24" t="str">
        <f>IF(ISNUMBER('Список деталей'!C109), 'Список деталей'!C109, "")</f>
        <v/>
      </c>
      <c r="G101" s="24" t="str">
        <f>IF(ISNUMBER('Список деталей'!D109), 'Список деталей'!D109, "")</f>
        <v/>
      </c>
      <c r="H101" s="3" t="str">
        <f t="shared" si="1"/>
        <v xml:space="preserve">    </v>
      </c>
      <c r="I101" s="3" t="str">
        <f>IF(ISBLANK('Список деталей'!F109),"",VLOOKUP('Список деталей'!F109,обозначениКромки,4,0))</f>
        <v/>
      </c>
      <c r="J101" s="25" t="str">
        <f>IF(ISBLANK('Список деталей'!G109),"",VLOOKUP('Список деталей'!G109,обозначениКромки,4,0))</f>
        <v/>
      </c>
      <c r="K101" s="25" t="str">
        <f>IF(ISBLANK('Список деталей'!H109),"",VLOOKUP('Список деталей'!H109,обозначениКромки,4,0))</f>
        <v/>
      </c>
      <c r="L101" s="25" t="str">
        <f>IF(ISBLANK('Список деталей'!I109),"",VLOOKUP('Список деталей'!I109,обозначениКромки,4,0))</f>
        <v/>
      </c>
      <c r="M101" s="24" t="str">
        <f>IF(ISBLANK('Список деталей'!Y109),"",('Список деталей'!Y109))</f>
        <v/>
      </c>
      <c r="N101" s="3" t="str">
        <f>IF(ISBLANK('Список деталей'!Z109),"",('Список деталей'!Z109))</f>
        <v/>
      </c>
      <c r="O101" s="3" t="str">
        <f>IF(ISBLANK('Список деталей'!AA109),"",('Список деталей'!AA109))</f>
        <v/>
      </c>
      <c r="P101" s="3" t="str">
        <f>IF(ISBLANK('Список деталей'!AB109),"",('Список деталей'!AB109))</f>
        <v/>
      </c>
      <c r="Q101" s="45">
        <f>VLOOKUP(IF(ISBLANK('Список деталей'!H109)=TRUE,7,'Список деталей'!H109),кромка,2,0)+VLOOKUP(IF(ISBLANK('Список деталей'!I109)=TRUE,7,'Список деталей'!I109),кромка,2,0)+'Список деталей'!C109</f>
        <v>0</v>
      </c>
      <c r="R101" s="45">
        <f>VLOOKUP(IF(ISBLANK('Список деталей'!F109)=TRUE,7,'Список деталей'!F109),кромка,2,0)+VLOOKUP(IF(ISBLANK('Список деталей'!G109)=TRUE,7,'Список деталей'!G109),кромка,2,0)+'Список деталей'!D109</f>
        <v>0</v>
      </c>
      <c r="S101" s="42">
        <f>IF('Список деталей'!H109="",0,1)+IF('Список деталей'!I109="",0,1)+'Список деталей'!C109</f>
        <v>0</v>
      </c>
      <c r="T101" s="42">
        <f>IF('Список деталей'!F109="",0,1)+IF('Список деталей'!G109="",0,1)+'Список деталей'!D109</f>
        <v>0</v>
      </c>
      <c r="U101" s="3" t="str">
        <f>IF(ISBLANK('Список деталей'!K109),"",'Список деталей'!K109)</f>
        <v/>
      </c>
      <c r="V101" s="3" t="str">
        <f>IF(AND('Список деталей'!C109&gt;849,'Список деталей'!D109&gt;849)=TRUE,1*'Список деталей'!E109,"")</f>
        <v/>
      </c>
    </row>
    <row r="102" spans="1:22" x14ac:dyDescent="0.45">
      <c r="A102" s="3">
        <f>IF(ISNUMBER('Список деталей'!A110), 'Список деталей'!A110, "")</f>
        <v>101</v>
      </c>
      <c r="B102" s="30" t="str">
        <f>IF(ISBLANK('Список деталей'!B110),"",'Список деталей'!B110)</f>
        <v/>
      </c>
      <c r="C102" s="3" t="str">
        <f>IF(ISNUMBER('Список деталей'!C110), $W$4,"")</f>
        <v/>
      </c>
      <c r="D102" s="3" t="str">
        <f>IF(ISNUMBER('Список деталей'!C110), 'Список деталей'!$I$4,"")</f>
        <v/>
      </c>
      <c r="E102" s="24" t="str">
        <f>IF(ISNUMBER('Список деталей'!E110), 'Список деталей'!E110, "")</f>
        <v/>
      </c>
      <c r="F102" s="24" t="str">
        <f>IF(ISNUMBER('Список деталей'!C110), 'Список деталей'!C110, "")</f>
        <v/>
      </c>
      <c r="G102" s="24" t="str">
        <f>IF(ISNUMBER('Список деталей'!D110), 'Список деталей'!D110, "")</f>
        <v/>
      </c>
      <c r="H102" s="3" t="str">
        <f t="shared" si="1"/>
        <v xml:space="preserve">    </v>
      </c>
      <c r="I102" s="3" t="str">
        <f>IF(ISBLANK('Список деталей'!F110),"",VLOOKUP('Список деталей'!F110,обозначениКромки,4,0))</f>
        <v/>
      </c>
      <c r="J102" s="25" t="str">
        <f>IF(ISBLANK('Список деталей'!G110),"",VLOOKUP('Список деталей'!G110,обозначениКромки,4,0))</f>
        <v/>
      </c>
      <c r="K102" s="25" t="str">
        <f>IF(ISBLANK('Список деталей'!H110),"",VLOOKUP('Список деталей'!H110,обозначениКромки,4,0))</f>
        <v/>
      </c>
      <c r="L102" s="25" t="str">
        <f>IF(ISBLANK('Список деталей'!I110),"",VLOOKUP('Список деталей'!I110,обозначениКромки,4,0))</f>
        <v/>
      </c>
      <c r="M102" s="24" t="str">
        <f>IF(ISBLANK('Список деталей'!Y110),"",('Список деталей'!Y110))</f>
        <v/>
      </c>
      <c r="N102" s="3" t="str">
        <f>IF(ISBLANK('Список деталей'!Z110),"",('Список деталей'!Z110))</f>
        <v/>
      </c>
      <c r="O102" s="3" t="str">
        <f>IF(ISBLANK('Список деталей'!AA110),"",('Список деталей'!AA110))</f>
        <v/>
      </c>
      <c r="P102" s="3" t="str">
        <f>IF(ISBLANK('Список деталей'!AB110),"",('Список деталей'!AB110))</f>
        <v/>
      </c>
      <c r="Q102" s="45">
        <f>VLOOKUP(IF(ISBLANK('Список деталей'!H110)=TRUE,7,'Список деталей'!H110),кромка,2,0)+VLOOKUP(IF(ISBLANK('Список деталей'!I110)=TRUE,7,'Список деталей'!I110),кромка,2,0)+'Список деталей'!C110</f>
        <v>0</v>
      </c>
      <c r="R102" s="45">
        <f>VLOOKUP(IF(ISBLANK('Список деталей'!F110)=TRUE,7,'Список деталей'!F110),кромка,2,0)+VLOOKUP(IF(ISBLANK('Список деталей'!G110)=TRUE,7,'Список деталей'!G110),кромка,2,0)+'Список деталей'!D110</f>
        <v>0</v>
      </c>
      <c r="S102" s="42">
        <f>IF('Список деталей'!H110="",0,1)+IF('Список деталей'!I110="",0,1)+'Список деталей'!C110</f>
        <v>0</v>
      </c>
      <c r="T102" s="42">
        <f>IF('Список деталей'!F110="",0,1)+IF('Список деталей'!G110="",0,1)+'Список деталей'!D110</f>
        <v>0</v>
      </c>
      <c r="U102" s="3" t="str">
        <f>IF(ISBLANK('Список деталей'!K110),"",'Список деталей'!K110)</f>
        <v/>
      </c>
      <c r="V102" s="3" t="str">
        <f>IF(AND('Список деталей'!C110&gt;849,'Список деталей'!D110&gt;849)=TRUE,1*'Список деталей'!E110,"")</f>
        <v/>
      </c>
    </row>
    <row r="103" spans="1:22" x14ac:dyDescent="0.45">
      <c r="A103" s="3">
        <f>IF(ISNUMBER('Список деталей'!A111), 'Список деталей'!A111, "")</f>
        <v>102</v>
      </c>
      <c r="B103" s="30" t="str">
        <f>IF(ISBLANK('Список деталей'!B111),"",'Список деталей'!B111)</f>
        <v/>
      </c>
      <c r="C103" s="3" t="str">
        <f>IF(ISNUMBER('Список деталей'!C111), $W$4,"")</f>
        <v/>
      </c>
      <c r="D103" s="3" t="str">
        <f>IF(ISNUMBER('Список деталей'!C111), 'Список деталей'!$I$4,"")</f>
        <v/>
      </c>
      <c r="E103" s="24" t="str">
        <f>IF(ISNUMBER('Список деталей'!E111), 'Список деталей'!E111, "")</f>
        <v/>
      </c>
      <c r="F103" s="24" t="str">
        <f>IF(ISNUMBER('Список деталей'!C111), 'Список деталей'!C111, "")</f>
        <v/>
      </c>
      <c r="G103" s="24" t="str">
        <f>IF(ISNUMBER('Список деталей'!D111), 'Список деталей'!D111, "")</f>
        <v/>
      </c>
      <c r="H103" s="3" t="str">
        <f t="shared" si="1"/>
        <v xml:space="preserve">    </v>
      </c>
      <c r="I103" s="3" t="str">
        <f>IF(ISBLANK('Список деталей'!F111),"",VLOOKUP('Список деталей'!F111,обозначениКромки,4,0))</f>
        <v/>
      </c>
      <c r="J103" s="25" t="str">
        <f>IF(ISBLANK('Список деталей'!G111),"",VLOOKUP('Список деталей'!G111,обозначениКромки,4,0))</f>
        <v/>
      </c>
      <c r="K103" s="25" t="str">
        <f>IF(ISBLANK('Список деталей'!H111),"",VLOOKUP('Список деталей'!H111,обозначениКромки,4,0))</f>
        <v/>
      </c>
      <c r="L103" s="25" t="str">
        <f>IF(ISBLANK('Список деталей'!I111),"",VLOOKUP('Список деталей'!I111,обозначениКромки,4,0))</f>
        <v/>
      </c>
      <c r="M103" s="24" t="str">
        <f>IF(ISBLANK('Список деталей'!Y111),"",('Список деталей'!Y111))</f>
        <v/>
      </c>
      <c r="N103" s="3" t="str">
        <f>IF(ISBLANK('Список деталей'!Z111),"",('Список деталей'!Z111))</f>
        <v/>
      </c>
      <c r="O103" s="3" t="str">
        <f>IF(ISBLANK('Список деталей'!AA111),"",('Список деталей'!AA111))</f>
        <v/>
      </c>
      <c r="P103" s="3" t="str">
        <f>IF(ISBLANK('Список деталей'!AB111),"",('Список деталей'!AB111))</f>
        <v/>
      </c>
      <c r="Q103" s="45">
        <f>VLOOKUP(IF(ISBLANK('Список деталей'!H111)=TRUE,7,'Список деталей'!H111),кромка,2,0)+VLOOKUP(IF(ISBLANK('Список деталей'!I111)=TRUE,7,'Список деталей'!I111),кромка,2,0)+'Список деталей'!C111</f>
        <v>0</v>
      </c>
      <c r="R103" s="45">
        <f>VLOOKUP(IF(ISBLANK('Список деталей'!F111)=TRUE,7,'Список деталей'!F111),кромка,2,0)+VLOOKUP(IF(ISBLANK('Список деталей'!G111)=TRUE,7,'Список деталей'!G111),кромка,2,0)+'Список деталей'!D111</f>
        <v>0</v>
      </c>
      <c r="S103" s="42">
        <f>IF('Список деталей'!H111="",0,1)+IF('Список деталей'!I111="",0,1)+'Список деталей'!C111</f>
        <v>0</v>
      </c>
      <c r="T103" s="42">
        <f>IF('Список деталей'!F111="",0,1)+IF('Список деталей'!G111="",0,1)+'Список деталей'!D111</f>
        <v>0</v>
      </c>
      <c r="U103" s="3" t="str">
        <f>IF(ISBLANK('Список деталей'!K111),"",'Список деталей'!K111)</f>
        <v/>
      </c>
      <c r="V103" s="3" t="str">
        <f>IF(AND('Список деталей'!C111&gt;849,'Список деталей'!D111&gt;849)=TRUE,1*'Список деталей'!E111,"")</f>
        <v/>
      </c>
    </row>
    <row r="104" spans="1:22" x14ac:dyDescent="0.45">
      <c r="A104" s="3">
        <f>IF(ISNUMBER('Список деталей'!A112), 'Список деталей'!A112, "")</f>
        <v>103</v>
      </c>
      <c r="B104" s="30" t="str">
        <f>IF(ISBLANK('Список деталей'!B112),"",'Список деталей'!B112)</f>
        <v/>
      </c>
      <c r="C104" s="3" t="str">
        <f>IF(ISNUMBER('Список деталей'!C112), $W$4,"")</f>
        <v/>
      </c>
      <c r="D104" s="3" t="str">
        <f>IF(ISNUMBER('Список деталей'!C112), 'Список деталей'!$I$4,"")</f>
        <v/>
      </c>
      <c r="E104" s="24" t="str">
        <f>IF(ISNUMBER('Список деталей'!E112), 'Список деталей'!E112, "")</f>
        <v/>
      </c>
      <c r="F104" s="24" t="str">
        <f>IF(ISNUMBER('Список деталей'!C112), 'Список деталей'!C112, "")</f>
        <v/>
      </c>
      <c r="G104" s="24" t="str">
        <f>IF(ISNUMBER('Список деталей'!D112), 'Список деталей'!D112, "")</f>
        <v/>
      </c>
      <c r="H104" s="3" t="str">
        <f t="shared" si="1"/>
        <v xml:space="preserve">    </v>
      </c>
      <c r="I104" s="3" t="str">
        <f>IF(ISBLANK('Список деталей'!F112),"",VLOOKUP('Список деталей'!F112,обозначениКромки,4,0))</f>
        <v/>
      </c>
      <c r="J104" s="25" t="str">
        <f>IF(ISBLANK('Список деталей'!G112),"",VLOOKUP('Список деталей'!G112,обозначениКромки,4,0))</f>
        <v/>
      </c>
      <c r="K104" s="25" t="str">
        <f>IF(ISBLANK('Список деталей'!H112),"",VLOOKUP('Список деталей'!H112,обозначениКромки,4,0))</f>
        <v/>
      </c>
      <c r="L104" s="25" t="str">
        <f>IF(ISBLANK('Список деталей'!I112),"",VLOOKUP('Список деталей'!I112,обозначениКромки,4,0))</f>
        <v/>
      </c>
      <c r="M104" s="24" t="str">
        <f>IF(ISBLANK('Список деталей'!Y112),"",('Список деталей'!Y112))</f>
        <v/>
      </c>
      <c r="N104" s="3" t="str">
        <f>IF(ISBLANK('Список деталей'!Z112),"",('Список деталей'!Z112))</f>
        <v/>
      </c>
      <c r="O104" s="3" t="str">
        <f>IF(ISBLANK('Список деталей'!AA112),"",('Список деталей'!AA112))</f>
        <v/>
      </c>
      <c r="P104" s="3" t="str">
        <f>IF(ISBLANK('Список деталей'!AB112),"",('Список деталей'!AB112))</f>
        <v/>
      </c>
      <c r="Q104" s="45">
        <f>VLOOKUP(IF(ISBLANK('Список деталей'!H112)=TRUE,7,'Список деталей'!H112),кромка,2,0)+VLOOKUP(IF(ISBLANK('Список деталей'!I112)=TRUE,7,'Список деталей'!I112),кромка,2,0)+'Список деталей'!C112</f>
        <v>0</v>
      </c>
      <c r="R104" s="45">
        <f>VLOOKUP(IF(ISBLANK('Список деталей'!F112)=TRUE,7,'Список деталей'!F112),кромка,2,0)+VLOOKUP(IF(ISBLANK('Список деталей'!G112)=TRUE,7,'Список деталей'!G112),кромка,2,0)+'Список деталей'!D112</f>
        <v>0</v>
      </c>
      <c r="S104" s="42">
        <f>IF('Список деталей'!H112="",0,1)+IF('Список деталей'!I112="",0,1)+'Список деталей'!C112</f>
        <v>0</v>
      </c>
      <c r="T104" s="42">
        <f>IF('Список деталей'!F112="",0,1)+IF('Список деталей'!G112="",0,1)+'Список деталей'!D112</f>
        <v>0</v>
      </c>
      <c r="U104" s="3" t="str">
        <f>IF(ISBLANK('Список деталей'!K112),"",'Список деталей'!K112)</f>
        <v/>
      </c>
      <c r="V104" s="3" t="str">
        <f>IF(AND('Список деталей'!C112&gt;849,'Список деталей'!D112&gt;849)=TRUE,1*'Список деталей'!E112,"")</f>
        <v/>
      </c>
    </row>
    <row r="105" spans="1:22" x14ac:dyDescent="0.45">
      <c r="A105" s="3">
        <f>IF(ISNUMBER('Список деталей'!A113), 'Список деталей'!A113, "")</f>
        <v>104</v>
      </c>
      <c r="B105" s="30" t="str">
        <f>IF(ISBLANK('Список деталей'!B113),"",'Список деталей'!B113)</f>
        <v/>
      </c>
      <c r="C105" s="3" t="str">
        <f>IF(ISNUMBER('Список деталей'!C113), $W$4,"")</f>
        <v/>
      </c>
      <c r="D105" s="3" t="str">
        <f>IF(ISNUMBER('Список деталей'!C113), 'Список деталей'!$I$4,"")</f>
        <v/>
      </c>
      <c r="E105" s="24" t="str">
        <f>IF(ISNUMBER('Список деталей'!E113), 'Список деталей'!E113, "")</f>
        <v/>
      </c>
      <c r="F105" s="24" t="str">
        <f>IF(ISNUMBER('Список деталей'!C113), 'Список деталей'!C113, "")</f>
        <v/>
      </c>
      <c r="G105" s="24" t="str">
        <f>IF(ISNUMBER('Список деталей'!D113), 'Список деталей'!D113, "")</f>
        <v/>
      </c>
      <c r="H105" s="3" t="str">
        <f t="shared" si="1"/>
        <v xml:space="preserve">    </v>
      </c>
      <c r="I105" s="3" t="str">
        <f>IF(ISBLANK('Список деталей'!F113),"",VLOOKUP('Список деталей'!F113,обозначениКромки,4,0))</f>
        <v/>
      </c>
      <c r="J105" s="25" t="str">
        <f>IF(ISBLANK('Список деталей'!G113),"",VLOOKUP('Список деталей'!G113,обозначениКромки,4,0))</f>
        <v/>
      </c>
      <c r="K105" s="25" t="str">
        <f>IF(ISBLANK('Список деталей'!H113),"",VLOOKUP('Список деталей'!H113,обозначениКромки,4,0))</f>
        <v/>
      </c>
      <c r="L105" s="25" t="str">
        <f>IF(ISBLANK('Список деталей'!I113),"",VLOOKUP('Список деталей'!I113,обозначениКромки,4,0))</f>
        <v/>
      </c>
      <c r="M105" s="24" t="str">
        <f>IF(ISBLANK('Список деталей'!Y113),"",('Список деталей'!Y113))</f>
        <v/>
      </c>
      <c r="N105" s="3" t="str">
        <f>IF(ISBLANK('Список деталей'!Z113),"",('Список деталей'!Z113))</f>
        <v/>
      </c>
      <c r="O105" s="3" t="str">
        <f>IF(ISBLANK('Список деталей'!AA113),"",('Список деталей'!AA113))</f>
        <v/>
      </c>
      <c r="P105" s="3" t="str">
        <f>IF(ISBLANK('Список деталей'!AB113),"",('Список деталей'!AB113))</f>
        <v/>
      </c>
      <c r="Q105" s="45">
        <f>VLOOKUP(IF(ISBLANK('Список деталей'!H113)=TRUE,7,'Список деталей'!H113),кромка,2,0)+VLOOKUP(IF(ISBLANK('Список деталей'!I113)=TRUE,7,'Список деталей'!I113),кромка,2,0)+'Список деталей'!C113</f>
        <v>0</v>
      </c>
      <c r="R105" s="45">
        <f>VLOOKUP(IF(ISBLANK('Список деталей'!F113)=TRUE,7,'Список деталей'!F113),кромка,2,0)+VLOOKUP(IF(ISBLANK('Список деталей'!G113)=TRUE,7,'Список деталей'!G113),кромка,2,0)+'Список деталей'!D113</f>
        <v>0</v>
      </c>
      <c r="S105" s="42">
        <f>IF('Список деталей'!H113="",0,1)+IF('Список деталей'!I113="",0,1)+'Список деталей'!C113</f>
        <v>0</v>
      </c>
      <c r="T105" s="42">
        <f>IF('Список деталей'!F113="",0,1)+IF('Список деталей'!G113="",0,1)+'Список деталей'!D113</f>
        <v>0</v>
      </c>
      <c r="U105" s="3" t="str">
        <f>IF(ISBLANK('Список деталей'!K113),"",'Список деталей'!K113)</f>
        <v/>
      </c>
      <c r="V105" s="3" t="str">
        <f>IF(AND('Список деталей'!C113&gt;849,'Список деталей'!D113&gt;849)=TRUE,1*'Список деталей'!E113,"")</f>
        <v/>
      </c>
    </row>
    <row r="106" spans="1:22" x14ac:dyDescent="0.45">
      <c r="A106" s="3">
        <f>IF(ISNUMBER('Список деталей'!A114), 'Список деталей'!A114, "")</f>
        <v>105</v>
      </c>
      <c r="B106" s="30" t="str">
        <f>IF(ISBLANK('Список деталей'!B114),"",'Список деталей'!B114)</f>
        <v/>
      </c>
      <c r="C106" s="3" t="str">
        <f>IF(ISNUMBER('Список деталей'!C114), $W$4,"")</f>
        <v/>
      </c>
      <c r="D106" s="3" t="str">
        <f>IF(ISNUMBER('Список деталей'!C114), 'Список деталей'!$I$4,"")</f>
        <v/>
      </c>
      <c r="E106" s="24" t="str">
        <f>IF(ISNUMBER('Список деталей'!E114), 'Список деталей'!E114, "")</f>
        <v/>
      </c>
      <c r="F106" s="24" t="str">
        <f>IF(ISNUMBER('Список деталей'!C114), 'Список деталей'!C114, "")</f>
        <v/>
      </c>
      <c r="G106" s="24" t="str">
        <f>IF(ISNUMBER('Список деталей'!D114), 'Список деталей'!D114, "")</f>
        <v/>
      </c>
      <c r="H106" s="3" t="str">
        <f t="shared" si="1"/>
        <v xml:space="preserve">    </v>
      </c>
      <c r="I106" s="3" t="str">
        <f>IF(ISBLANK('Список деталей'!F114),"",VLOOKUP('Список деталей'!F114,обозначениКромки,4,0))</f>
        <v/>
      </c>
      <c r="J106" s="25" t="str">
        <f>IF(ISBLANK('Список деталей'!G114),"",VLOOKUP('Список деталей'!G114,обозначениКромки,4,0))</f>
        <v/>
      </c>
      <c r="K106" s="25" t="str">
        <f>IF(ISBLANK('Список деталей'!H114),"",VLOOKUP('Список деталей'!H114,обозначениКромки,4,0))</f>
        <v/>
      </c>
      <c r="L106" s="25" t="str">
        <f>IF(ISBLANK('Список деталей'!I114),"",VLOOKUP('Список деталей'!I114,обозначениКромки,4,0))</f>
        <v/>
      </c>
      <c r="M106" s="24" t="str">
        <f>IF(ISBLANK('Список деталей'!Y114),"",('Список деталей'!Y114))</f>
        <v/>
      </c>
      <c r="N106" s="3" t="str">
        <f>IF(ISBLANK('Список деталей'!Z114),"",('Список деталей'!Z114))</f>
        <v/>
      </c>
      <c r="O106" s="3" t="str">
        <f>IF(ISBLANK('Список деталей'!AA114),"",('Список деталей'!AA114))</f>
        <v/>
      </c>
      <c r="P106" s="3" t="str">
        <f>IF(ISBLANK('Список деталей'!AB114),"",('Список деталей'!AB114))</f>
        <v/>
      </c>
      <c r="Q106" s="45">
        <f>VLOOKUP(IF(ISBLANK('Список деталей'!H114)=TRUE,7,'Список деталей'!H114),кромка,2,0)+VLOOKUP(IF(ISBLANK('Список деталей'!I114)=TRUE,7,'Список деталей'!I114),кромка,2,0)+'Список деталей'!C114</f>
        <v>0</v>
      </c>
      <c r="R106" s="45">
        <f>VLOOKUP(IF(ISBLANK('Список деталей'!F114)=TRUE,7,'Список деталей'!F114),кромка,2,0)+VLOOKUP(IF(ISBLANK('Список деталей'!G114)=TRUE,7,'Список деталей'!G114),кромка,2,0)+'Список деталей'!D114</f>
        <v>0</v>
      </c>
      <c r="S106" s="42">
        <f>IF('Список деталей'!H114="",0,1)+IF('Список деталей'!I114="",0,1)+'Список деталей'!C114</f>
        <v>0</v>
      </c>
      <c r="T106" s="42">
        <f>IF('Список деталей'!F114="",0,1)+IF('Список деталей'!G114="",0,1)+'Список деталей'!D114</f>
        <v>0</v>
      </c>
      <c r="U106" s="3" t="str">
        <f>IF(ISBLANK('Список деталей'!K114),"",'Список деталей'!K114)</f>
        <v/>
      </c>
      <c r="V106" s="3" t="str">
        <f>IF(AND('Список деталей'!C114&gt;849,'Список деталей'!D114&gt;849)=TRUE,1*'Список деталей'!E114,"")</f>
        <v/>
      </c>
    </row>
    <row r="107" spans="1:22" x14ac:dyDescent="0.45">
      <c r="A107" s="3">
        <f>IF(ISNUMBER('Список деталей'!A115), 'Список деталей'!A115, "")</f>
        <v>106</v>
      </c>
      <c r="B107" s="30" t="str">
        <f>IF(ISBLANK('Список деталей'!B115),"",'Список деталей'!B115)</f>
        <v/>
      </c>
      <c r="C107" s="3" t="str">
        <f>IF(ISNUMBER('Список деталей'!C115), $W$4,"")</f>
        <v/>
      </c>
      <c r="D107" s="3" t="str">
        <f>IF(ISNUMBER('Список деталей'!C115), 'Список деталей'!$I$4,"")</f>
        <v/>
      </c>
      <c r="E107" s="24" t="str">
        <f>IF(ISNUMBER('Список деталей'!E115), 'Список деталей'!E115, "")</f>
        <v/>
      </c>
      <c r="F107" s="24" t="str">
        <f>IF(ISNUMBER('Список деталей'!C115), 'Список деталей'!C115, "")</f>
        <v/>
      </c>
      <c r="G107" s="24" t="str">
        <f>IF(ISNUMBER('Список деталей'!D115), 'Список деталей'!D115, "")</f>
        <v/>
      </c>
      <c r="H107" s="3" t="str">
        <f t="shared" si="1"/>
        <v xml:space="preserve">    </v>
      </c>
      <c r="I107" s="3" t="str">
        <f>IF(ISBLANK('Список деталей'!F115),"",VLOOKUP('Список деталей'!F115,обозначениКромки,4,0))</f>
        <v/>
      </c>
      <c r="J107" s="25" t="str">
        <f>IF(ISBLANK('Список деталей'!G115),"",VLOOKUP('Список деталей'!G115,обозначениКромки,4,0))</f>
        <v/>
      </c>
      <c r="K107" s="25" t="str">
        <f>IF(ISBLANK('Список деталей'!H115),"",VLOOKUP('Список деталей'!H115,обозначениКромки,4,0))</f>
        <v/>
      </c>
      <c r="L107" s="25" t="str">
        <f>IF(ISBLANK('Список деталей'!I115),"",VLOOKUP('Список деталей'!I115,обозначениКромки,4,0))</f>
        <v/>
      </c>
      <c r="M107" s="24" t="str">
        <f>IF(ISBLANK('Список деталей'!Y115),"",('Список деталей'!Y115))</f>
        <v/>
      </c>
      <c r="N107" s="3" t="str">
        <f>IF(ISBLANK('Список деталей'!Z115),"",('Список деталей'!Z115))</f>
        <v/>
      </c>
      <c r="O107" s="3" t="str">
        <f>IF(ISBLANK('Список деталей'!AA115),"",('Список деталей'!AA115))</f>
        <v/>
      </c>
      <c r="P107" s="3" t="str">
        <f>IF(ISBLANK('Список деталей'!AB115),"",('Список деталей'!AB115))</f>
        <v/>
      </c>
      <c r="Q107" s="45">
        <f>VLOOKUP(IF(ISBLANK('Список деталей'!H115)=TRUE,7,'Список деталей'!H115),кромка,2,0)+VLOOKUP(IF(ISBLANK('Список деталей'!I115)=TRUE,7,'Список деталей'!I115),кромка,2,0)+'Список деталей'!C115</f>
        <v>0</v>
      </c>
      <c r="R107" s="45">
        <f>VLOOKUP(IF(ISBLANK('Список деталей'!F115)=TRUE,7,'Список деталей'!F115),кромка,2,0)+VLOOKUP(IF(ISBLANK('Список деталей'!G115)=TRUE,7,'Список деталей'!G115),кромка,2,0)+'Список деталей'!D115</f>
        <v>0</v>
      </c>
      <c r="S107" s="42">
        <f>IF('Список деталей'!H115="",0,1)+IF('Список деталей'!I115="",0,1)+'Список деталей'!C115</f>
        <v>0</v>
      </c>
      <c r="T107" s="42">
        <f>IF('Список деталей'!F115="",0,1)+IF('Список деталей'!G115="",0,1)+'Список деталей'!D115</f>
        <v>0</v>
      </c>
      <c r="U107" s="3" t="str">
        <f>IF(ISBLANK('Список деталей'!K115),"",'Список деталей'!K115)</f>
        <v/>
      </c>
      <c r="V107" s="3" t="str">
        <f>IF(AND('Список деталей'!C115&gt;849,'Список деталей'!D115&gt;849)=TRUE,1*'Список деталей'!E115,"")</f>
        <v/>
      </c>
    </row>
    <row r="108" spans="1:22" x14ac:dyDescent="0.45">
      <c r="A108" s="3">
        <f>IF(ISNUMBER('Список деталей'!A116), 'Список деталей'!A116, "")</f>
        <v>107</v>
      </c>
      <c r="B108" s="30" t="str">
        <f>IF(ISBLANK('Список деталей'!B116),"",'Список деталей'!B116)</f>
        <v/>
      </c>
      <c r="C108" s="3" t="str">
        <f>IF(ISNUMBER('Список деталей'!C116), $W$4,"")</f>
        <v/>
      </c>
      <c r="D108" s="3" t="str">
        <f>IF(ISNUMBER('Список деталей'!C116), 'Список деталей'!$I$4,"")</f>
        <v/>
      </c>
      <c r="E108" s="24" t="str">
        <f>IF(ISNUMBER('Список деталей'!E116), 'Список деталей'!E116, "")</f>
        <v/>
      </c>
      <c r="F108" s="24" t="str">
        <f>IF(ISNUMBER('Список деталей'!C116), 'Список деталей'!C116, "")</f>
        <v/>
      </c>
      <c r="G108" s="24" t="str">
        <f>IF(ISNUMBER('Список деталей'!D116), 'Список деталей'!D116, "")</f>
        <v/>
      </c>
      <c r="H108" s="3" t="str">
        <f t="shared" si="1"/>
        <v xml:space="preserve">    </v>
      </c>
      <c r="I108" s="3" t="str">
        <f>IF(ISBLANK('Список деталей'!F116),"",VLOOKUP('Список деталей'!F116,обозначениКромки,4,0))</f>
        <v/>
      </c>
      <c r="J108" s="25" t="str">
        <f>IF(ISBLANK('Список деталей'!G116),"",VLOOKUP('Список деталей'!G116,обозначениКромки,4,0))</f>
        <v/>
      </c>
      <c r="K108" s="25" t="str">
        <f>IF(ISBLANK('Список деталей'!H116),"",VLOOKUP('Список деталей'!H116,обозначениКромки,4,0))</f>
        <v/>
      </c>
      <c r="L108" s="25" t="str">
        <f>IF(ISBLANK('Список деталей'!I116),"",VLOOKUP('Список деталей'!I116,обозначениКромки,4,0))</f>
        <v/>
      </c>
      <c r="M108" s="24" t="str">
        <f>IF(ISBLANK('Список деталей'!Y116),"",('Список деталей'!Y116))</f>
        <v/>
      </c>
      <c r="N108" s="3" t="str">
        <f>IF(ISBLANK('Список деталей'!Z116),"",('Список деталей'!Z116))</f>
        <v/>
      </c>
      <c r="O108" s="3" t="str">
        <f>IF(ISBLANK('Список деталей'!AA116),"",('Список деталей'!AA116))</f>
        <v/>
      </c>
      <c r="P108" s="3" t="str">
        <f>IF(ISBLANK('Список деталей'!AB116),"",('Список деталей'!AB116))</f>
        <v/>
      </c>
      <c r="Q108" s="45">
        <f>VLOOKUP(IF(ISBLANK('Список деталей'!H116)=TRUE,7,'Список деталей'!H116),кромка,2,0)+VLOOKUP(IF(ISBLANK('Список деталей'!I116)=TRUE,7,'Список деталей'!I116),кромка,2,0)+'Список деталей'!C116</f>
        <v>0</v>
      </c>
      <c r="R108" s="45">
        <f>VLOOKUP(IF(ISBLANK('Список деталей'!F116)=TRUE,7,'Список деталей'!F116),кромка,2,0)+VLOOKUP(IF(ISBLANK('Список деталей'!G116)=TRUE,7,'Список деталей'!G116),кромка,2,0)+'Список деталей'!D116</f>
        <v>0</v>
      </c>
      <c r="S108" s="42">
        <f>IF('Список деталей'!H116="",0,1)+IF('Список деталей'!I116="",0,1)+'Список деталей'!C116</f>
        <v>0</v>
      </c>
      <c r="T108" s="42">
        <f>IF('Список деталей'!F116="",0,1)+IF('Список деталей'!G116="",0,1)+'Список деталей'!D116</f>
        <v>0</v>
      </c>
      <c r="U108" s="3" t="str">
        <f>IF(ISBLANK('Список деталей'!K116),"",'Список деталей'!K116)</f>
        <v/>
      </c>
      <c r="V108" s="3" t="str">
        <f>IF(AND('Список деталей'!C116&gt;849,'Список деталей'!D116&gt;849)=TRUE,1*'Список деталей'!E116,"")</f>
        <v/>
      </c>
    </row>
    <row r="109" spans="1:22" x14ac:dyDescent="0.45">
      <c r="A109" s="3">
        <f>IF(ISNUMBER('Список деталей'!A117), 'Список деталей'!A117, "")</f>
        <v>108</v>
      </c>
      <c r="B109" s="30" t="str">
        <f>IF(ISBLANK('Список деталей'!B117),"",'Список деталей'!B117)</f>
        <v/>
      </c>
      <c r="C109" s="3" t="str">
        <f>IF(ISNUMBER('Список деталей'!C117), $W$4,"")</f>
        <v/>
      </c>
      <c r="D109" s="3" t="str">
        <f>IF(ISNUMBER('Список деталей'!C117), 'Список деталей'!$I$4,"")</f>
        <v/>
      </c>
      <c r="E109" s="24" t="str">
        <f>IF(ISNUMBER('Список деталей'!E117), 'Список деталей'!E117, "")</f>
        <v/>
      </c>
      <c r="F109" s="24" t="str">
        <f>IF(ISNUMBER('Список деталей'!C117), 'Список деталей'!C117, "")</f>
        <v/>
      </c>
      <c r="G109" s="24" t="str">
        <f>IF(ISNUMBER('Список деталей'!D117), 'Список деталей'!D117, "")</f>
        <v/>
      </c>
      <c r="H109" s="3" t="str">
        <f t="shared" si="1"/>
        <v xml:space="preserve">    </v>
      </c>
      <c r="I109" s="3" t="str">
        <f>IF(ISBLANK('Список деталей'!F117),"",VLOOKUP('Список деталей'!F117,обозначениКромки,4,0))</f>
        <v/>
      </c>
      <c r="J109" s="25" t="str">
        <f>IF(ISBLANK('Список деталей'!G117),"",VLOOKUP('Список деталей'!G117,обозначениКромки,4,0))</f>
        <v/>
      </c>
      <c r="K109" s="25" t="str">
        <f>IF(ISBLANK('Список деталей'!H117),"",VLOOKUP('Список деталей'!H117,обозначениКромки,4,0))</f>
        <v/>
      </c>
      <c r="L109" s="25" t="str">
        <f>IF(ISBLANK('Список деталей'!I117),"",VLOOKUP('Список деталей'!I117,обозначениКромки,4,0))</f>
        <v/>
      </c>
      <c r="M109" s="24" t="str">
        <f>IF(ISBLANK('Список деталей'!Y117),"",('Список деталей'!Y117))</f>
        <v/>
      </c>
      <c r="N109" s="3" t="str">
        <f>IF(ISBLANK('Список деталей'!Z117),"",('Список деталей'!Z117))</f>
        <v/>
      </c>
      <c r="O109" s="3" t="str">
        <f>IF(ISBLANK('Список деталей'!AA117),"",('Список деталей'!AA117))</f>
        <v/>
      </c>
      <c r="P109" s="3" t="str">
        <f>IF(ISBLANK('Список деталей'!AB117),"",('Список деталей'!AB117))</f>
        <v/>
      </c>
      <c r="Q109" s="45">
        <f>VLOOKUP(IF(ISBLANK('Список деталей'!H117)=TRUE,7,'Список деталей'!H117),кромка,2,0)+VLOOKUP(IF(ISBLANK('Список деталей'!I117)=TRUE,7,'Список деталей'!I117),кромка,2,0)+'Список деталей'!C117</f>
        <v>0</v>
      </c>
      <c r="R109" s="45">
        <f>VLOOKUP(IF(ISBLANK('Список деталей'!F117)=TRUE,7,'Список деталей'!F117),кромка,2,0)+VLOOKUP(IF(ISBLANK('Список деталей'!G117)=TRUE,7,'Список деталей'!G117),кромка,2,0)+'Список деталей'!D117</f>
        <v>0</v>
      </c>
      <c r="S109" s="42">
        <f>IF('Список деталей'!H117="",0,1)+IF('Список деталей'!I117="",0,1)+'Список деталей'!C117</f>
        <v>0</v>
      </c>
      <c r="T109" s="42">
        <f>IF('Список деталей'!F117="",0,1)+IF('Список деталей'!G117="",0,1)+'Список деталей'!D117</f>
        <v>0</v>
      </c>
      <c r="U109" s="3" t="str">
        <f>IF(ISBLANK('Список деталей'!K117),"",'Список деталей'!K117)</f>
        <v/>
      </c>
      <c r="V109" s="3" t="str">
        <f>IF(AND('Список деталей'!C117&gt;849,'Список деталей'!D117&gt;849)=TRUE,1*'Список деталей'!E117,"")</f>
        <v/>
      </c>
    </row>
    <row r="110" spans="1:22" x14ac:dyDescent="0.45">
      <c r="A110" s="3">
        <f>IF(ISNUMBER('Список деталей'!A118), 'Список деталей'!A118, "")</f>
        <v>109</v>
      </c>
      <c r="B110" s="30" t="str">
        <f>IF(ISBLANK('Список деталей'!B118),"",'Список деталей'!B118)</f>
        <v/>
      </c>
      <c r="C110" s="3" t="str">
        <f>IF(ISNUMBER('Список деталей'!C118), $W$4,"")</f>
        <v/>
      </c>
      <c r="D110" s="3" t="str">
        <f>IF(ISNUMBER('Список деталей'!C118), 'Список деталей'!$I$4,"")</f>
        <v/>
      </c>
      <c r="E110" s="24" t="str">
        <f>IF(ISNUMBER('Список деталей'!E118), 'Список деталей'!E118, "")</f>
        <v/>
      </c>
      <c r="F110" s="24" t="str">
        <f>IF(ISNUMBER('Список деталей'!C118), 'Список деталей'!C118, "")</f>
        <v/>
      </c>
      <c r="G110" s="24" t="str">
        <f>IF(ISNUMBER('Список деталей'!D118), 'Список деталей'!D118, "")</f>
        <v/>
      </c>
      <c r="H110" s="3" t="str">
        <f t="shared" si="1"/>
        <v xml:space="preserve">    </v>
      </c>
      <c r="I110" s="3" t="str">
        <f>IF(ISBLANK('Список деталей'!F118),"",VLOOKUP('Список деталей'!F118,обозначениКромки,4,0))</f>
        <v/>
      </c>
      <c r="J110" s="25" t="str">
        <f>IF(ISBLANK('Список деталей'!G118),"",VLOOKUP('Список деталей'!G118,обозначениКромки,4,0))</f>
        <v/>
      </c>
      <c r="K110" s="25" t="str">
        <f>IF(ISBLANK('Список деталей'!H118),"",VLOOKUP('Список деталей'!H118,обозначениКромки,4,0))</f>
        <v/>
      </c>
      <c r="L110" s="25" t="str">
        <f>IF(ISBLANK('Список деталей'!I118),"",VLOOKUP('Список деталей'!I118,обозначениКромки,4,0))</f>
        <v/>
      </c>
      <c r="M110" s="24" t="str">
        <f>IF(ISBLANK('Список деталей'!Y118),"",('Список деталей'!Y118))</f>
        <v/>
      </c>
      <c r="N110" s="3" t="str">
        <f>IF(ISBLANK('Список деталей'!Z118),"",('Список деталей'!Z118))</f>
        <v/>
      </c>
      <c r="O110" s="3" t="str">
        <f>IF(ISBLANK('Список деталей'!AA118),"",('Список деталей'!AA118))</f>
        <v/>
      </c>
      <c r="P110" s="3" t="str">
        <f>IF(ISBLANK('Список деталей'!AB118),"",('Список деталей'!AB118))</f>
        <v/>
      </c>
      <c r="Q110" s="45">
        <f>VLOOKUP(IF(ISBLANK('Список деталей'!H118)=TRUE,7,'Список деталей'!H118),кромка,2,0)+VLOOKUP(IF(ISBLANK('Список деталей'!I118)=TRUE,7,'Список деталей'!I118),кромка,2,0)+'Список деталей'!C118</f>
        <v>0</v>
      </c>
      <c r="R110" s="45">
        <f>VLOOKUP(IF(ISBLANK('Список деталей'!F118)=TRUE,7,'Список деталей'!F118),кромка,2,0)+VLOOKUP(IF(ISBLANK('Список деталей'!G118)=TRUE,7,'Список деталей'!G118),кромка,2,0)+'Список деталей'!D118</f>
        <v>0</v>
      </c>
      <c r="S110" s="42">
        <f>IF('Список деталей'!H118="",0,1)+IF('Список деталей'!I118="",0,1)+'Список деталей'!C118</f>
        <v>0</v>
      </c>
      <c r="T110" s="42">
        <f>IF('Список деталей'!F118="",0,1)+IF('Список деталей'!G118="",0,1)+'Список деталей'!D118</f>
        <v>0</v>
      </c>
      <c r="U110" s="3" t="str">
        <f>IF(ISBLANK('Список деталей'!K118),"",'Список деталей'!K118)</f>
        <v/>
      </c>
      <c r="V110" s="3" t="str">
        <f>IF(AND('Список деталей'!C118&gt;849,'Список деталей'!D118&gt;849)=TRUE,1*'Список деталей'!E118,"")</f>
        <v/>
      </c>
    </row>
    <row r="111" spans="1:22" x14ac:dyDescent="0.45">
      <c r="A111" s="3">
        <f>IF(ISNUMBER('Список деталей'!A119), 'Список деталей'!A119, "")</f>
        <v>110</v>
      </c>
      <c r="B111" s="30" t="str">
        <f>IF(ISBLANK('Список деталей'!B119),"",'Список деталей'!B119)</f>
        <v/>
      </c>
      <c r="C111" s="3" t="str">
        <f>IF(ISNUMBER('Список деталей'!C119), $W$4,"")</f>
        <v/>
      </c>
      <c r="D111" s="3" t="str">
        <f>IF(ISNUMBER('Список деталей'!C119), 'Список деталей'!$I$4,"")</f>
        <v/>
      </c>
      <c r="E111" s="24" t="str">
        <f>IF(ISNUMBER('Список деталей'!E119), 'Список деталей'!E119, "")</f>
        <v/>
      </c>
      <c r="F111" s="24" t="str">
        <f>IF(ISNUMBER('Список деталей'!C119), 'Список деталей'!C119, "")</f>
        <v/>
      </c>
      <c r="G111" s="24" t="str">
        <f>IF(ISNUMBER('Список деталей'!D119), 'Список деталей'!D119, "")</f>
        <v/>
      </c>
      <c r="H111" s="3" t="str">
        <f t="shared" si="1"/>
        <v xml:space="preserve">    </v>
      </c>
      <c r="I111" s="3" t="str">
        <f>IF(ISBLANK('Список деталей'!F119),"",VLOOKUP('Список деталей'!F119,обозначениКромки,4,0))</f>
        <v/>
      </c>
      <c r="J111" s="25" t="str">
        <f>IF(ISBLANK('Список деталей'!G119),"",VLOOKUP('Список деталей'!G119,обозначениКромки,4,0))</f>
        <v/>
      </c>
      <c r="K111" s="25" t="str">
        <f>IF(ISBLANK('Список деталей'!H119),"",VLOOKUP('Список деталей'!H119,обозначениКромки,4,0))</f>
        <v/>
      </c>
      <c r="L111" s="25" t="str">
        <f>IF(ISBLANK('Список деталей'!I119),"",VLOOKUP('Список деталей'!I119,обозначениКромки,4,0))</f>
        <v/>
      </c>
      <c r="M111" s="24" t="str">
        <f>IF(ISBLANK('Список деталей'!Y119),"",('Список деталей'!Y119))</f>
        <v/>
      </c>
      <c r="N111" s="3" t="str">
        <f>IF(ISBLANK('Список деталей'!Z119),"",('Список деталей'!Z119))</f>
        <v/>
      </c>
      <c r="O111" s="3" t="str">
        <f>IF(ISBLANK('Список деталей'!AA119),"",('Список деталей'!AA119))</f>
        <v/>
      </c>
      <c r="P111" s="3" t="str">
        <f>IF(ISBLANK('Список деталей'!AB119),"",('Список деталей'!AB119))</f>
        <v/>
      </c>
      <c r="Q111" s="45">
        <f>VLOOKUP(IF(ISBLANK('Список деталей'!H119)=TRUE,7,'Список деталей'!H119),кромка,2,0)+VLOOKUP(IF(ISBLANK('Список деталей'!I119)=TRUE,7,'Список деталей'!I119),кромка,2,0)+'Список деталей'!C119</f>
        <v>0</v>
      </c>
      <c r="R111" s="45">
        <f>VLOOKUP(IF(ISBLANK('Список деталей'!F119)=TRUE,7,'Список деталей'!F119),кромка,2,0)+VLOOKUP(IF(ISBLANK('Список деталей'!G119)=TRUE,7,'Список деталей'!G119),кромка,2,0)+'Список деталей'!D119</f>
        <v>0</v>
      </c>
      <c r="S111" s="42">
        <f>IF('Список деталей'!H119="",0,1)+IF('Список деталей'!I119="",0,1)+'Список деталей'!C119</f>
        <v>0</v>
      </c>
      <c r="T111" s="42">
        <f>IF('Список деталей'!F119="",0,1)+IF('Список деталей'!G119="",0,1)+'Список деталей'!D119</f>
        <v>0</v>
      </c>
      <c r="U111" s="3" t="str">
        <f>IF(ISBLANK('Список деталей'!K119),"",'Список деталей'!K119)</f>
        <v/>
      </c>
      <c r="V111" s="3" t="str">
        <f>IF(AND('Список деталей'!C119&gt;849,'Список деталей'!D119&gt;849)=TRUE,1*'Список деталей'!E119,"")</f>
        <v/>
      </c>
    </row>
    <row r="112" spans="1:22" x14ac:dyDescent="0.45">
      <c r="A112" s="3">
        <f>IF(ISNUMBER('Список деталей'!A120), 'Список деталей'!A120, "")</f>
        <v>111</v>
      </c>
      <c r="B112" s="30" t="str">
        <f>IF(ISBLANK('Список деталей'!B120),"",'Список деталей'!B120)</f>
        <v/>
      </c>
      <c r="C112" s="3" t="str">
        <f>IF(ISNUMBER('Список деталей'!C120), $W$4,"")</f>
        <v/>
      </c>
      <c r="D112" s="3" t="str">
        <f>IF(ISNUMBER('Список деталей'!C120), 'Список деталей'!$I$4,"")</f>
        <v/>
      </c>
      <c r="E112" s="24" t="str">
        <f>IF(ISNUMBER('Список деталей'!E120), 'Список деталей'!E120, "")</f>
        <v/>
      </c>
      <c r="F112" s="24" t="str">
        <f>IF(ISNUMBER('Список деталей'!C120), 'Список деталей'!C120, "")</f>
        <v/>
      </c>
      <c r="G112" s="24" t="str">
        <f>IF(ISNUMBER('Список деталей'!D120), 'Список деталей'!D120, "")</f>
        <v/>
      </c>
      <c r="H112" s="3" t="str">
        <f t="shared" si="1"/>
        <v xml:space="preserve">    </v>
      </c>
      <c r="I112" s="3" t="str">
        <f>IF(ISBLANK('Список деталей'!F120),"",VLOOKUP('Список деталей'!F120,обозначениКромки,4,0))</f>
        <v/>
      </c>
      <c r="J112" s="25" t="str">
        <f>IF(ISBLANK('Список деталей'!G120),"",VLOOKUP('Список деталей'!G120,обозначениКромки,4,0))</f>
        <v/>
      </c>
      <c r="K112" s="25" t="str">
        <f>IF(ISBLANK('Список деталей'!H120),"",VLOOKUP('Список деталей'!H120,обозначениКромки,4,0))</f>
        <v/>
      </c>
      <c r="L112" s="25" t="str">
        <f>IF(ISBLANK('Список деталей'!I120),"",VLOOKUP('Список деталей'!I120,обозначениКромки,4,0))</f>
        <v/>
      </c>
      <c r="M112" s="24" t="str">
        <f>IF(ISBLANK('Список деталей'!Y120),"",('Список деталей'!Y120))</f>
        <v/>
      </c>
      <c r="N112" s="3" t="str">
        <f>IF(ISBLANK('Список деталей'!Z120),"",('Список деталей'!Z120))</f>
        <v/>
      </c>
      <c r="O112" s="3" t="str">
        <f>IF(ISBLANK('Список деталей'!AA120),"",('Список деталей'!AA120))</f>
        <v/>
      </c>
      <c r="P112" s="3" t="str">
        <f>IF(ISBLANK('Список деталей'!AB120),"",('Список деталей'!AB120))</f>
        <v/>
      </c>
      <c r="Q112" s="45">
        <f>VLOOKUP(IF(ISBLANK('Список деталей'!H120)=TRUE,7,'Список деталей'!H120),кромка,2,0)+VLOOKUP(IF(ISBLANK('Список деталей'!I120)=TRUE,7,'Список деталей'!I120),кромка,2,0)+'Список деталей'!C120</f>
        <v>0</v>
      </c>
      <c r="R112" s="45">
        <f>VLOOKUP(IF(ISBLANK('Список деталей'!F120)=TRUE,7,'Список деталей'!F120),кромка,2,0)+VLOOKUP(IF(ISBLANK('Список деталей'!G120)=TRUE,7,'Список деталей'!G120),кромка,2,0)+'Список деталей'!D120</f>
        <v>0</v>
      </c>
      <c r="S112" s="42">
        <f>IF('Список деталей'!H120="",0,1)+IF('Список деталей'!I120="",0,1)+'Список деталей'!C120</f>
        <v>0</v>
      </c>
      <c r="T112" s="42">
        <f>IF('Список деталей'!F120="",0,1)+IF('Список деталей'!G120="",0,1)+'Список деталей'!D120</f>
        <v>0</v>
      </c>
      <c r="U112" s="3" t="str">
        <f>IF(ISBLANK('Список деталей'!K120),"",'Список деталей'!K120)</f>
        <v/>
      </c>
      <c r="V112" s="3" t="str">
        <f>IF(AND('Список деталей'!C120&gt;849,'Список деталей'!D120&gt;849)=TRUE,1*'Список деталей'!E120,"")</f>
        <v/>
      </c>
    </row>
    <row r="113" spans="1:22" x14ac:dyDescent="0.45">
      <c r="A113" s="3">
        <f>IF(ISNUMBER('Список деталей'!A121), 'Список деталей'!A121, "")</f>
        <v>112</v>
      </c>
      <c r="B113" s="30" t="str">
        <f>IF(ISBLANK('Список деталей'!B121),"",'Список деталей'!B121)</f>
        <v/>
      </c>
      <c r="C113" s="3" t="str">
        <f>IF(ISNUMBER('Список деталей'!C121), $W$4,"")</f>
        <v/>
      </c>
      <c r="D113" s="3" t="str">
        <f>IF(ISNUMBER('Список деталей'!C121), 'Список деталей'!$I$4,"")</f>
        <v/>
      </c>
      <c r="E113" s="24" t="str">
        <f>IF(ISNUMBER('Список деталей'!E121), 'Список деталей'!E121, "")</f>
        <v/>
      </c>
      <c r="F113" s="24" t="str">
        <f>IF(ISNUMBER('Список деталей'!C121), 'Список деталей'!C121, "")</f>
        <v/>
      </c>
      <c r="G113" s="24" t="str">
        <f>IF(ISNUMBER('Список деталей'!D121), 'Список деталей'!D121, "")</f>
        <v/>
      </c>
      <c r="H113" s="3" t="str">
        <f t="shared" si="1"/>
        <v xml:space="preserve">    </v>
      </c>
      <c r="I113" s="3" t="str">
        <f>IF(ISBLANK('Список деталей'!F121),"",VLOOKUP('Список деталей'!F121,обозначениКромки,4,0))</f>
        <v/>
      </c>
      <c r="J113" s="25" t="str">
        <f>IF(ISBLANK('Список деталей'!G121),"",VLOOKUP('Список деталей'!G121,обозначениКромки,4,0))</f>
        <v/>
      </c>
      <c r="K113" s="25" t="str">
        <f>IF(ISBLANK('Список деталей'!H121),"",VLOOKUP('Список деталей'!H121,обозначениКромки,4,0))</f>
        <v/>
      </c>
      <c r="L113" s="25" t="str">
        <f>IF(ISBLANK('Список деталей'!I121),"",VLOOKUP('Список деталей'!I121,обозначениКромки,4,0))</f>
        <v/>
      </c>
      <c r="M113" s="24" t="str">
        <f>IF(ISBLANK('Список деталей'!Y121),"",('Список деталей'!Y121))</f>
        <v/>
      </c>
      <c r="N113" s="3" t="str">
        <f>IF(ISBLANK('Список деталей'!Z121),"",('Список деталей'!Z121))</f>
        <v/>
      </c>
      <c r="O113" s="3" t="str">
        <f>IF(ISBLANK('Список деталей'!AA121),"",('Список деталей'!AA121))</f>
        <v/>
      </c>
      <c r="P113" s="3" t="str">
        <f>IF(ISBLANK('Список деталей'!AB121),"",('Список деталей'!AB121))</f>
        <v/>
      </c>
      <c r="Q113" s="45">
        <f>VLOOKUP(IF(ISBLANK('Список деталей'!H121)=TRUE,7,'Список деталей'!H121),кромка,2,0)+VLOOKUP(IF(ISBLANK('Список деталей'!I121)=TRUE,7,'Список деталей'!I121),кромка,2,0)+'Список деталей'!C121</f>
        <v>0</v>
      </c>
      <c r="R113" s="45">
        <f>VLOOKUP(IF(ISBLANK('Список деталей'!F121)=TRUE,7,'Список деталей'!F121),кромка,2,0)+VLOOKUP(IF(ISBLANK('Список деталей'!G121)=TRUE,7,'Список деталей'!G121),кромка,2,0)+'Список деталей'!D121</f>
        <v>0</v>
      </c>
      <c r="S113" s="42">
        <f>IF('Список деталей'!H121="",0,1)+IF('Список деталей'!I121="",0,1)+'Список деталей'!C121</f>
        <v>0</v>
      </c>
      <c r="T113" s="42">
        <f>IF('Список деталей'!F121="",0,1)+IF('Список деталей'!G121="",0,1)+'Список деталей'!D121</f>
        <v>0</v>
      </c>
      <c r="U113" s="3" t="str">
        <f>IF(ISBLANK('Список деталей'!K121),"",'Список деталей'!K121)</f>
        <v/>
      </c>
      <c r="V113" s="3" t="str">
        <f>IF(AND('Список деталей'!C121&gt;849,'Список деталей'!D121&gt;849)=TRUE,1*'Список деталей'!E121,"")</f>
        <v/>
      </c>
    </row>
    <row r="114" spans="1:22" x14ac:dyDescent="0.45">
      <c r="A114" s="3">
        <f>IF(ISNUMBER('Список деталей'!A122), 'Список деталей'!A122, "")</f>
        <v>113</v>
      </c>
      <c r="B114" s="30" t="str">
        <f>IF(ISBLANK('Список деталей'!B122),"",'Список деталей'!B122)</f>
        <v/>
      </c>
      <c r="C114" s="3" t="str">
        <f>IF(ISNUMBER('Список деталей'!C122), $W$4,"")</f>
        <v/>
      </c>
      <c r="D114" s="3" t="str">
        <f>IF(ISNUMBER('Список деталей'!C122), 'Список деталей'!$I$4,"")</f>
        <v/>
      </c>
      <c r="E114" s="24" t="str">
        <f>IF(ISNUMBER('Список деталей'!E122), 'Список деталей'!E122, "")</f>
        <v/>
      </c>
      <c r="F114" s="24" t="str">
        <f>IF(ISNUMBER('Список деталей'!C122), 'Список деталей'!C122, "")</f>
        <v/>
      </c>
      <c r="G114" s="24" t="str">
        <f>IF(ISNUMBER('Список деталей'!D122), 'Список деталей'!D122, "")</f>
        <v/>
      </c>
      <c r="H114" s="3" t="str">
        <f t="shared" si="1"/>
        <v xml:space="preserve">    </v>
      </c>
      <c r="I114" s="3" t="str">
        <f>IF(ISBLANK('Список деталей'!F122),"",VLOOKUP('Список деталей'!F122,обозначениКромки,4,0))</f>
        <v/>
      </c>
      <c r="J114" s="25" t="str">
        <f>IF(ISBLANK('Список деталей'!G122),"",VLOOKUP('Список деталей'!G122,обозначениКромки,4,0))</f>
        <v/>
      </c>
      <c r="K114" s="25" t="str">
        <f>IF(ISBLANK('Список деталей'!H122),"",VLOOKUP('Список деталей'!H122,обозначениКромки,4,0))</f>
        <v/>
      </c>
      <c r="L114" s="25" t="str">
        <f>IF(ISBLANK('Список деталей'!I122),"",VLOOKUP('Список деталей'!I122,обозначениКромки,4,0))</f>
        <v/>
      </c>
      <c r="M114" s="24" t="str">
        <f>IF(ISBLANK('Список деталей'!Y122),"",('Список деталей'!Y122))</f>
        <v/>
      </c>
      <c r="N114" s="3" t="str">
        <f>IF(ISBLANK('Список деталей'!Z122),"",('Список деталей'!Z122))</f>
        <v/>
      </c>
      <c r="O114" s="3" t="str">
        <f>IF(ISBLANK('Список деталей'!AA122),"",('Список деталей'!AA122))</f>
        <v/>
      </c>
      <c r="P114" s="3" t="str">
        <f>IF(ISBLANK('Список деталей'!AB122),"",('Список деталей'!AB122))</f>
        <v/>
      </c>
      <c r="Q114" s="45">
        <f>VLOOKUP(IF(ISBLANK('Список деталей'!H122)=TRUE,7,'Список деталей'!H122),кромка,2,0)+VLOOKUP(IF(ISBLANK('Список деталей'!I122)=TRUE,7,'Список деталей'!I122),кромка,2,0)+'Список деталей'!C122</f>
        <v>0</v>
      </c>
      <c r="R114" s="45">
        <f>VLOOKUP(IF(ISBLANK('Список деталей'!F122)=TRUE,7,'Список деталей'!F122),кромка,2,0)+VLOOKUP(IF(ISBLANK('Список деталей'!G122)=TRUE,7,'Список деталей'!G122),кромка,2,0)+'Список деталей'!D122</f>
        <v>0</v>
      </c>
      <c r="S114" s="42">
        <f>IF('Список деталей'!H122="",0,1)+IF('Список деталей'!I122="",0,1)+'Список деталей'!C122</f>
        <v>0</v>
      </c>
      <c r="T114" s="42">
        <f>IF('Список деталей'!F122="",0,1)+IF('Список деталей'!G122="",0,1)+'Список деталей'!D122</f>
        <v>0</v>
      </c>
      <c r="U114" s="3" t="str">
        <f>IF(ISBLANK('Список деталей'!K122),"",'Список деталей'!K122)</f>
        <v/>
      </c>
      <c r="V114" s="3" t="str">
        <f>IF(AND('Список деталей'!C122&gt;849,'Список деталей'!D122&gt;849)=TRUE,1*'Список деталей'!E122,"")</f>
        <v/>
      </c>
    </row>
    <row r="115" spans="1:22" x14ac:dyDescent="0.45">
      <c r="A115" s="3">
        <f>IF(ISNUMBER('Список деталей'!A123), 'Список деталей'!A123, "")</f>
        <v>114</v>
      </c>
      <c r="B115" s="30" t="str">
        <f>IF(ISBLANK('Список деталей'!B123),"",'Список деталей'!B123)</f>
        <v/>
      </c>
      <c r="C115" s="3" t="str">
        <f>IF(ISNUMBER('Список деталей'!C123), $W$4,"")</f>
        <v/>
      </c>
      <c r="D115" s="3" t="str">
        <f>IF(ISNUMBER('Список деталей'!C123), 'Список деталей'!$I$4,"")</f>
        <v/>
      </c>
      <c r="E115" s="24" t="str">
        <f>IF(ISNUMBER('Список деталей'!E123), 'Список деталей'!E123, "")</f>
        <v/>
      </c>
      <c r="F115" s="24" t="str">
        <f>IF(ISNUMBER('Список деталей'!C123), 'Список деталей'!C123, "")</f>
        <v/>
      </c>
      <c r="G115" s="24" t="str">
        <f>IF(ISNUMBER('Список деталей'!D123), 'Список деталей'!D123, "")</f>
        <v/>
      </c>
      <c r="H115" s="3" t="str">
        <f t="shared" si="1"/>
        <v xml:space="preserve">    </v>
      </c>
      <c r="I115" s="3" t="str">
        <f>IF(ISBLANK('Список деталей'!F123),"",VLOOKUP('Список деталей'!F123,обозначениКромки,4,0))</f>
        <v/>
      </c>
      <c r="J115" s="25" t="str">
        <f>IF(ISBLANK('Список деталей'!G123),"",VLOOKUP('Список деталей'!G123,обозначениКромки,4,0))</f>
        <v/>
      </c>
      <c r="K115" s="25" t="str">
        <f>IF(ISBLANK('Список деталей'!H123),"",VLOOKUP('Список деталей'!H123,обозначениКромки,4,0))</f>
        <v/>
      </c>
      <c r="L115" s="25" t="str">
        <f>IF(ISBLANK('Список деталей'!I123),"",VLOOKUP('Список деталей'!I123,обозначениКромки,4,0))</f>
        <v/>
      </c>
      <c r="M115" s="24" t="str">
        <f>IF(ISBLANK('Список деталей'!Y123),"",('Список деталей'!Y123))</f>
        <v/>
      </c>
      <c r="N115" s="3" t="str">
        <f>IF(ISBLANK('Список деталей'!Z123),"",('Список деталей'!Z123))</f>
        <v/>
      </c>
      <c r="O115" s="3" t="str">
        <f>IF(ISBLANK('Список деталей'!AA123),"",('Список деталей'!AA123))</f>
        <v/>
      </c>
      <c r="P115" s="3" t="str">
        <f>IF(ISBLANK('Список деталей'!AB123),"",('Список деталей'!AB123))</f>
        <v/>
      </c>
      <c r="Q115" s="45">
        <f>VLOOKUP(IF(ISBLANK('Список деталей'!H123)=TRUE,7,'Список деталей'!H123),кромка,2,0)+VLOOKUP(IF(ISBLANK('Список деталей'!I123)=TRUE,7,'Список деталей'!I123),кромка,2,0)+'Список деталей'!C123</f>
        <v>0</v>
      </c>
      <c r="R115" s="45">
        <f>VLOOKUP(IF(ISBLANK('Список деталей'!F123)=TRUE,7,'Список деталей'!F123),кромка,2,0)+VLOOKUP(IF(ISBLANK('Список деталей'!G123)=TRUE,7,'Список деталей'!G123),кромка,2,0)+'Список деталей'!D123</f>
        <v>0</v>
      </c>
      <c r="S115" s="42">
        <f>IF('Список деталей'!H123="",0,1)+IF('Список деталей'!I123="",0,1)+'Список деталей'!C123</f>
        <v>0</v>
      </c>
      <c r="T115" s="42">
        <f>IF('Список деталей'!F123="",0,1)+IF('Список деталей'!G123="",0,1)+'Список деталей'!D123</f>
        <v>0</v>
      </c>
      <c r="U115" s="3" t="str">
        <f>IF(ISBLANK('Список деталей'!K123),"",'Список деталей'!K123)</f>
        <v/>
      </c>
      <c r="V115" s="3" t="str">
        <f>IF(AND('Список деталей'!C123&gt;849,'Список деталей'!D123&gt;849)=TRUE,1*'Список деталей'!E123,"")</f>
        <v/>
      </c>
    </row>
    <row r="116" spans="1:22" x14ac:dyDescent="0.45">
      <c r="A116" s="3">
        <f>IF(ISNUMBER('Список деталей'!A124), 'Список деталей'!A124, "")</f>
        <v>115</v>
      </c>
      <c r="B116" s="30" t="str">
        <f>IF(ISBLANK('Список деталей'!B124),"",'Список деталей'!B124)</f>
        <v/>
      </c>
      <c r="C116" s="3" t="str">
        <f>IF(ISNUMBER('Список деталей'!C124), $W$4,"")</f>
        <v/>
      </c>
      <c r="D116" s="3" t="str">
        <f>IF(ISNUMBER('Список деталей'!C124), 'Список деталей'!$I$4,"")</f>
        <v/>
      </c>
      <c r="E116" s="24" t="str">
        <f>IF(ISNUMBER('Список деталей'!E124), 'Список деталей'!E124, "")</f>
        <v/>
      </c>
      <c r="F116" s="24" t="str">
        <f>IF(ISNUMBER('Список деталей'!C124), 'Список деталей'!C124, "")</f>
        <v/>
      </c>
      <c r="G116" s="24" t="str">
        <f>IF(ISNUMBER('Список деталей'!D124), 'Список деталей'!D124, "")</f>
        <v/>
      </c>
      <c r="H116" s="3" t="str">
        <f t="shared" si="1"/>
        <v xml:space="preserve">    </v>
      </c>
      <c r="I116" s="3" t="str">
        <f>IF(ISBLANK('Список деталей'!F124),"",VLOOKUP('Список деталей'!F124,обозначениКромки,4,0))</f>
        <v/>
      </c>
      <c r="J116" s="25" t="str">
        <f>IF(ISBLANK('Список деталей'!G124),"",VLOOKUP('Список деталей'!G124,обозначениКромки,4,0))</f>
        <v/>
      </c>
      <c r="K116" s="25" t="str">
        <f>IF(ISBLANK('Список деталей'!H124),"",VLOOKUP('Список деталей'!H124,обозначениКромки,4,0))</f>
        <v/>
      </c>
      <c r="L116" s="25" t="str">
        <f>IF(ISBLANK('Список деталей'!I124),"",VLOOKUP('Список деталей'!I124,обозначениКромки,4,0))</f>
        <v/>
      </c>
      <c r="M116" s="24" t="str">
        <f>IF(ISBLANK('Список деталей'!Y124),"",('Список деталей'!Y124))</f>
        <v/>
      </c>
      <c r="N116" s="3" t="str">
        <f>IF(ISBLANK('Список деталей'!Z124),"",('Список деталей'!Z124))</f>
        <v/>
      </c>
      <c r="O116" s="3" t="str">
        <f>IF(ISBLANK('Список деталей'!AA124),"",('Список деталей'!AA124))</f>
        <v/>
      </c>
      <c r="P116" s="3" t="str">
        <f>IF(ISBLANK('Список деталей'!AB124),"",('Список деталей'!AB124))</f>
        <v/>
      </c>
      <c r="Q116" s="45">
        <f>VLOOKUP(IF(ISBLANK('Список деталей'!H124)=TRUE,7,'Список деталей'!H124),кромка,2,0)+VLOOKUP(IF(ISBLANK('Список деталей'!I124)=TRUE,7,'Список деталей'!I124),кромка,2,0)+'Список деталей'!C124</f>
        <v>0</v>
      </c>
      <c r="R116" s="45">
        <f>VLOOKUP(IF(ISBLANK('Список деталей'!F124)=TRUE,7,'Список деталей'!F124),кромка,2,0)+VLOOKUP(IF(ISBLANK('Список деталей'!G124)=TRUE,7,'Список деталей'!G124),кромка,2,0)+'Список деталей'!D124</f>
        <v>0</v>
      </c>
      <c r="S116" s="42">
        <f>IF('Список деталей'!H124="",0,1)+IF('Список деталей'!I124="",0,1)+'Список деталей'!C124</f>
        <v>0</v>
      </c>
      <c r="T116" s="42">
        <f>IF('Список деталей'!F124="",0,1)+IF('Список деталей'!G124="",0,1)+'Список деталей'!D124</f>
        <v>0</v>
      </c>
      <c r="U116" s="3" t="str">
        <f>IF(ISBLANK('Список деталей'!K124),"",'Список деталей'!K124)</f>
        <v/>
      </c>
      <c r="V116" s="3" t="str">
        <f>IF(AND('Список деталей'!C124&gt;849,'Список деталей'!D124&gt;849)=TRUE,1*'Список деталей'!E124,"")</f>
        <v/>
      </c>
    </row>
    <row r="117" spans="1:22" x14ac:dyDescent="0.45">
      <c r="A117" s="3">
        <f>IF(ISNUMBER('Список деталей'!A125), 'Список деталей'!A125, "")</f>
        <v>116</v>
      </c>
      <c r="B117" s="30" t="str">
        <f>IF(ISBLANK('Список деталей'!B125),"",'Список деталей'!B125)</f>
        <v/>
      </c>
      <c r="C117" s="3" t="str">
        <f>IF(ISNUMBER('Список деталей'!C125), $W$4,"")</f>
        <v/>
      </c>
      <c r="D117" s="3" t="str">
        <f>IF(ISNUMBER('Список деталей'!C125), 'Список деталей'!$I$4,"")</f>
        <v/>
      </c>
      <c r="E117" s="24" t="str">
        <f>IF(ISNUMBER('Список деталей'!E125), 'Список деталей'!E125, "")</f>
        <v/>
      </c>
      <c r="F117" s="24" t="str">
        <f>IF(ISNUMBER('Список деталей'!C125), 'Список деталей'!C125, "")</f>
        <v/>
      </c>
      <c r="G117" s="24" t="str">
        <f>IF(ISNUMBER('Список деталей'!D125), 'Список деталей'!D125, "")</f>
        <v/>
      </c>
      <c r="H117" s="3" t="str">
        <f t="shared" si="1"/>
        <v xml:space="preserve">    </v>
      </c>
      <c r="I117" s="3" t="str">
        <f>IF(ISBLANK('Список деталей'!F125),"",VLOOKUP('Список деталей'!F125,обозначениКромки,4,0))</f>
        <v/>
      </c>
      <c r="J117" s="25" t="str">
        <f>IF(ISBLANK('Список деталей'!G125),"",VLOOKUP('Список деталей'!G125,обозначениКромки,4,0))</f>
        <v/>
      </c>
      <c r="K117" s="25" t="str">
        <f>IF(ISBLANK('Список деталей'!H125),"",VLOOKUP('Список деталей'!H125,обозначениКромки,4,0))</f>
        <v/>
      </c>
      <c r="L117" s="25" t="str">
        <f>IF(ISBLANK('Список деталей'!I125),"",VLOOKUP('Список деталей'!I125,обозначениКромки,4,0))</f>
        <v/>
      </c>
      <c r="M117" s="24" t="str">
        <f>IF(ISBLANK('Список деталей'!Y125),"",('Список деталей'!Y125))</f>
        <v/>
      </c>
      <c r="N117" s="3" t="str">
        <f>IF(ISBLANK('Список деталей'!Z125),"",('Список деталей'!Z125))</f>
        <v/>
      </c>
      <c r="O117" s="3" t="str">
        <f>IF(ISBLANK('Список деталей'!AA125),"",('Список деталей'!AA125))</f>
        <v/>
      </c>
      <c r="P117" s="3" t="str">
        <f>IF(ISBLANK('Список деталей'!AB125),"",('Список деталей'!AB125))</f>
        <v/>
      </c>
      <c r="Q117" s="45">
        <f>VLOOKUP(IF(ISBLANK('Список деталей'!H125)=TRUE,7,'Список деталей'!H125),кромка,2,0)+VLOOKUP(IF(ISBLANK('Список деталей'!I125)=TRUE,7,'Список деталей'!I125),кромка,2,0)+'Список деталей'!C125</f>
        <v>0</v>
      </c>
      <c r="R117" s="45">
        <f>VLOOKUP(IF(ISBLANK('Список деталей'!F125)=TRUE,7,'Список деталей'!F125),кромка,2,0)+VLOOKUP(IF(ISBLANK('Список деталей'!G125)=TRUE,7,'Список деталей'!G125),кромка,2,0)+'Список деталей'!D125</f>
        <v>0</v>
      </c>
      <c r="S117" s="42">
        <f>IF('Список деталей'!H125="",0,1)+IF('Список деталей'!I125="",0,1)+'Список деталей'!C125</f>
        <v>0</v>
      </c>
      <c r="T117" s="42">
        <f>IF('Список деталей'!F125="",0,1)+IF('Список деталей'!G125="",0,1)+'Список деталей'!D125</f>
        <v>0</v>
      </c>
      <c r="U117" s="3" t="str">
        <f>IF(ISBLANK('Список деталей'!K125),"",'Список деталей'!K125)</f>
        <v/>
      </c>
      <c r="V117" s="3" t="str">
        <f>IF(AND('Список деталей'!C125&gt;849,'Список деталей'!D125&gt;849)=TRUE,1*'Список деталей'!E125,"")</f>
        <v/>
      </c>
    </row>
    <row r="118" spans="1:22" x14ac:dyDescent="0.45">
      <c r="A118" s="3">
        <f>IF(ISNUMBER('Список деталей'!A126), 'Список деталей'!A126, "")</f>
        <v>117</v>
      </c>
      <c r="B118" s="30" t="str">
        <f>IF(ISBLANK('Список деталей'!B126),"",'Список деталей'!B126)</f>
        <v/>
      </c>
      <c r="C118" s="3" t="str">
        <f>IF(ISNUMBER('Список деталей'!C126), $W$4,"")</f>
        <v/>
      </c>
      <c r="D118" s="3" t="str">
        <f>IF(ISNUMBER('Список деталей'!C126), 'Список деталей'!$I$4,"")</f>
        <v/>
      </c>
      <c r="E118" s="24" t="str">
        <f>IF(ISNUMBER('Список деталей'!E126), 'Список деталей'!E126, "")</f>
        <v/>
      </c>
      <c r="F118" s="24" t="str">
        <f>IF(ISNUMBER('Список деталей'!C126), 'Список деталей'!C126, "")</f>
        <v/>
      </c>
      <c r="G118" s="24" t="str">
        <f>IF(ISNUMBER('Список деталей'!D126), 'Список деталей'!D126, "")</f>
        <v/>
      </c>
      <c r="H118" s="3" t="str">
        <f t="shared" si="1"/>
        <v xml:space="preserve">    </v>
      </c>
      <c r="I118" s="3" t="str">
        <f>IF(ISBLANK('Список деталей'!F126),"",VLOOKUP('Список деталей'!F126,обозначениКромки,4,0))</f>
        <v/>
      </c>
      <c r="J118" s="25" t="str">
        <f>IF(ISBLANK('Список деталей'!G126),"",VLOOKUP('Список деталей'!G126,обозначениКромки,4,0))</f>
        <v/>
      </c>
      <c r="K118" s="25" t="str">
        <f>IF(ISBLANK('Список деталей'!H126),"",VLOOKUP('Список деталей'!H126,обозначениКромки,4,0))</f>
        <v/>
      </c>
      <c r="L118" s="25" t="str">
        <f>IF(ISBLANK('Список деталей'!I126),"",VLOOKUP('Список деталей'!I126,обозначениКромки,4,0))</f>
        <v/>
      </c>
      <c r="M118" s="24" t="str">
        <f>IF(ISBLANK('Список деталей'!Y126),"",('Список деталей'!Y126))</f>
        <v/>
      </c>
      <c r="N118" s="3" t="str">
        <f>IF(ISBLANK('Список деталей'!Z126),"",('Список деталей'!Z126))</f>
        <v/>
      </c>
      <c r="O118" s="3" t="str">
        <f>IF(ISBLANK('Список деталей'!AA126),"",('Список деталей'!AA126))</f>
        <v/>
      </c>
      <c r="P118" s="3" t="str">
        <f>IF(ISBLANK('Список деталей'!AB126),"",('Список деталей'!AB126))</f>
        <v/>
      </c>
      <c r="Q118" s="45">
        <f>VLOOKUP(IF(ISBLANK('Список деталей'!H126)=TRUE,7,'Список деталей'!H126),кромка,2,0)+VLOOKUP(IF(ISBLANK('Список деталей'!I126)=TRUE,7,'Список деталей'!I126),кромка,2,0)+'Список деталей'!C126</f>
        <v>0</v>
      </c>
      <c r="R118" s="45">
        <f>VLOOKUP(IF(ISBLANK('Список деталей'!F126)=TRUE,7,'Список деталей'!F126),кромка,2,0)+VLOOKUP(IF(ISBLANK('Список деталей'!G126)=TRUE,7,'Список деталей'!G126),кромка,2,0)+'Список деталей'!D126</f>
        <v>0</v>
      </c>
      <c r="S118" s="42">
        <f>IF('Список деталей'!H126="",0,1)+IF('Список деталей'!I126="",0,1)+'Список деталей'!C126</f>
        <v>0</v>
      </c>
      <c r="T118" s="42">
        <f>IF('Список деталей'!F126="",0,1)+IF('Список деталей'!G126="",0,1)+'Список деталей'!D126</f>
        <v>0</v>
      </c>
      <c r="U118" s="3" t="str">
        <f>IF(ISBLANK('Список деталей'!K126),"",'Список деталей'!K126)</f>
        <v/>
      </c>
      <c r="V118" s="3" t="str">
        <f>IF(AND('Список деталей'!C126&gt;849,'Список деталей'!D126&gt;849)=TRUE,1*'Список деталей'!E126,"")</f>
        <v/>
      </c>
    </row>
    <row r="119" spans="1:22" x14ac:dyDescent="0.45">
      <c r="A119" s="3">
        <f>IF(ISNUMBER('Список деталей'!A127), 'Список деталей'!A127, "")</f>
        <v>118</v>
      </c>
      <c r="B119" s="30" t="str">
        <f>IF(ISBLANK('Список деталей'!B127),"",'Список деталей'!B127)</f>
        <v/>
      </c>
      <c r="C119" s="3" t="str">
        <f>IF(ISNUMBER('Список деталей'!C127), $W$4,"")</f>
        <v/>
      </c>
      <c r="D119" s="3" t="str">
        <f>IF(ISNUMBER('Список деталей'!C127), 'Список деталей'!$I$4,"")</f>
        <v/>
      </c>
      <c r="E119" s="24" t="str">
        <f>IF(ISNUMBER('Список деталей'!E127), 'Список деталей'!E127, "")</f>
        <v/>
      </c>
      <c r="F119" s="24" t="str">
        <f>IF(ISNUMBER('Список деталей'!C127), 'Список деталей'!C127, "")</f>
        <v/>
      </c>
      <c r="G119" s="24" t="str">
        <f>IF(ISNUMBER('Список деталей'!D127), 'Список деталей'!D127, "")</f>
        <v/>
      </c>
      <c r="H119" s="3" t="str">
        <f t="shared" si="1"/>
        <v xml:space="preserve">    </v>
      </c>
      <c r="I119" s="3" t="str">
        <f>IF(ISBLANK('Список деталей'!F127),"",VLOOKUP('Список деталей'!F127,обозначениКромки,4,0))</f>
        <v/>
      </c>
      <c r="J119" s="25" t="str">
        <f>IF(ISBLANK('Список деталей'!G127),"",VLOOKUP('Список деталей'!G127,обозначениКромки,4,0))</f>
        <v/>
      </c>
      <c r="K119" s="25" t="str">
        <f>IF(ISBLANK('Список деталей'!H127),"",VLOOKUP('Список деталей'!H127,обозначениКромки,4,0))</f>
        <v/>
      </c>
      <c r="L119" s="25" t="str">
        <f>IF(ISBLANK('Список деталей'!I127),"",VLOOKUP('Список деталей'!I127,обозначениКромки,4,0))</f>
        <v/>
      </c>
      <c r="M119" s="24" t="str">
        <f>IF(ISBLANK('Список деталей'!Y127),"",('Список деталей'!Y127))</f>
        <v/>
      </c>
      <c r="N119" s="3" t="str">
        <f>IF(ISBLANK('Список деталей'!Z127),"",('Список деталей'!Z127))</f>
        <v/>
      </c>
      <c r="O119" s="3" t="str">
        <f>IF(ISBLANK('Список деталей'!AA127),"",('Список деталей'!AA127))</f>
        <v/>
      </c>
      <c r="P119" s="3" t="str">
        <f>IF(ISBLANK('Список деталей'!AB127),"",('Список деталей'!AB127))</f>
        <v/>
      </c>
      <c r="Q119" s="45">
        <f>VLOOKUP(IF(ISBLANK('Список деталей'!H127)=TRUE,7,'Список деталей'!H127),кромка,2,0)+VLOOKUP(IF(ISBLANK('Список деталей'!I127)=TRUE,7,'Список деталей'!I127),кромка,2,0)+'Список деталей'!C127</f>
        <v>0</v>
      </c>
      <c r="R119" s="45">
        <f>VLOOKUP(IF(ISBLANK('Список деталей'!F127)=TRUE,7,'Список деталей'!F127),кромка,2,0)+VLOOKUP(IF(ISBLANK('Список деталей'!G127)=TRUE,7,'Список деталей'!G127),кромка,2,0)+'Список деталей'!D127</f>
        <v>0</v>
      </c>
      <c r="S119" s="42">
        <f>IF('Список деталей'!H127="",0,1)+IF('Список деталей'!I127="",0,1)+'Список деталей'!C127</f>
        <v>0</v>
      </c>
      <c r="T119" s="42">
        <f>IF('Список деталей'!F127="",0,1)+IF('Список деталей'!G127="",0,1)+'Список деталей'!D127</f>
        <v>0</v>
      </c>
      <c r="U119" s="3" t="str">
        <f>IF(ISBLANK('Список деталей'!K127),"",'Список деталей'!K127)</f>
        <v/>
      </c>
      <c r="V119" s="3" t="str">
        <f>IF(AND('Список деталей'!C127&gt;849,'Список деталей'!D127&gt;849)=TRUE,1*'Список деталей'!E127,"")</f>
        <v/>
      </c>
    </row>
    <row r="120" spans="1:22" x14ac:dyDescent="0.45">
      <c r="A120" s="3">
        <f>IF(ISNUMBER('Список деталей'!A128), 'Список деталей'!A128, "")</f>
        <v>119</v>
      </c>
      <c r="B120" s="30" t="str">
        <f>IF(ISBLANK('Список деталей'!B128),"",'Список деталей'!B128)</f>
        <v/>
      </c>
      <c r="C120" s="3" t="str">
        <f>IF(ISNUMBER('Список деталей'!C128), $W$4,"")</f>
        <v/>
      </c>
      <c r="D120" s="3" t="str">
        <f>IF(ISNUMBER('Список деталей'!C128), 'Список деталей'!$I$4,"")</f>
        <v/>
      </c>
      <c r="E120" s="24" t="str">
        <f>IF(ISNUMBER('Список деталей'!E128), 'Список деталей'!E128, "")</f>
        <v/>
      </c>
      <c r="F120" s="24" t="str">
        <f>IF(ISNUMBER('Список деталей'!C128), 'Список деталей'!C128, "")</f>
        <v/>
      </c>
      <c r="G120" s="24" t="str">
        <f>IF(ISNUMBER('Список деталей'!D128), 'Список деталей'!D128, "")</f>
        <v/>
      </c>
      <c r="H120" s="3" t="str">
        <f t="shared" si="1"/>
        <v xml:space="preserve">    </v>
      </c>
      <c r="I120" s="3" t="str">
        <f>IF(ISBLANK('Список деталей'!F128),"",VLOOKUP('Список деталей'!F128,обозначениКромки,4,0))</f>
        <v/>
      </c>
      <c r="J120" s="25" t="str">
        <f>IF(ISBLANK('Список деталей'!G128),"",VLOOKUP('Список деталей'!G128,обозначениКромки,4,0))</f>
        <v/>
      </c>
      <c r="K120" s="25" t="str">
        <f>IF(ISBLANK('Список деталей'!H128),"",VLOOKUP('Список деталей'!H128,обозначениКромки,4,0))</f>
        <v/>
      </c>
      <c r="L120" s="25" t="str">
        <f>IF(ISBLANK('Список деталей'!I128),"",VLOOKUP('Список деталей'!I128,обозначениКромки,4,0))</f>
        <v/>
      </c>
      <c r="M120" s="24" t="str">
        <f>IF(ISBLANK('Список деталей'!Y128),"",('Список деталей'!Y128))</f>
        <v/>
      </c>
      <c r="N120" s="3" t="str">
        <f>IF(ISBLANK('Список деталей'!Z128),"",('Список деталей'!Z128))</f>
        <v/>
      </c>
      <c r="O120" s="3" t="str">
        <f>IF(ISBLANK('Список деталей'!AA128),"",('Список деталей'!AA128))</f>
        <v/>
      </c>
      <c r="P120" s="3" t="str">
        <f>IF(ISBLANK('Список деталей'!AB128),"",('Список деталей'!AB128))</f>
        <v/>
      </c>
      <c r="Q120" s="45">
        <f>VLOOKUP(IF(ISBLANK('Список деталей'!H128)=TRUE,7,'Список деталей'!H128),кромка,2,0)+VLOOKUP(IF(ISBLANK('Список деталей'!I128)=TRUE,7,'Список деталей'!I128),кромка,2,0)+'Список деталей'!C128</f>
        <v>0</v>
      </c>
      <c r="R120" s="45">
        <f>VLOOKUP(IF(ISBLANK('Список деталей'!F128)=TRUE,7,'Список деталей'!F128),кромка,2,0)+VLOOKUP(IF(ISBLANK('Список деталей'!G128)=TRUE,7,'Список деталей'!G128),кромка,2,0)+'Список деталей'!D128</f>
        <v>0</v>
      </c>
      <c r="S120" s="42">
        <f>IF('Список деталей'!H128="",0,1)+IF('Список деталей'!I128="",0,1)+'Список деталей'!C128</f>
        <v>0</v>
      </c>
      <c r="T120" s="42">
        <f>IF('Список деталей'!F128="",0,1)+IF('Список деталей'!G128="",0,1)+'Список деталей'!D128</f>
        <v>0</v>
      </c>
      <c r="U120" s="3" t="str">
        <f>IF(ISBLANK('Список деталей'!K128),"",'Список деталей'!K128)</f>
        <v/>
      </c>
      <c r="V120" s="3" t="str">
        <f>IF(AND('Список деталей'!C128&gt;849,'Список деталей'!D128&gt;849)=TRUE,1*'Список деталей'!E128,"")</f>
        <v/>
      </c>
    </row>
    <row r="121" spans="1:22" x14ac:dyDescent="0.45">
      <c r="A121" s="3">
        <f>IF(ISNUMBER('Список деталей'!A129), 'Список деталей'!A129, "")</f>
        <v>120</v>
      </c>
      <c r="B121" s="30" t="str">
        <f>IF(ISBLANK('Список деталей'!B129),"",'Список деталей'!B129)</f>
        <v/>
      </c>
      <c r="C121" s="3" t="str">
        <f>IF(ISNUMBER('Список деталей'!C129), $W$4,"")</f>
        <v/>
      </c>
      <c r="D121" s="3" t="str">
        <f>IF(ISNUMBER('Список деталей'!C129), 'Список деталей'!$I$4,"")</f>
        <v/>
      </c>
      <c r="E121" s="24" t="str">
        <f>IF(ISNUMBER('Список деталей'!E129), 'Список деталей'!E129, "")</f>
        <v/>
      </c>
      <c r="F121" s="24" t="str">
        <f>IF(ISNUMBER('Список деталей'!C129), 'Список деталей'!C129, "")</f>
        <v/>
      </c>
      <c r="G121" s="24" t="str">
        <f>IF(ISNUMBER('Список деталей'!D129), 'Список деталей'!D129, "")</f>
        <v/>
      </c>
      <c r="H121" s="3" t="str">
        <f t="shared" si="1"/>
        <v xml:space="preserve">    </v>
      </c>
      <c r="I121" s="3" t="str">
        <f>IF(ISBLANK('Список деталей'!F129),"",VLOOKUP('Список деталей'!F129,обозначениКромки,4,0))</f>
        <v/>
      </c>
      <c r="J121" s="25" t="str">
        <f>IF(ISBLANK('Список деталей'!G129),"",VLOOKUP('Список деталей'!G129,обозначениКромки,4,0))</f>
        <v/>
      </c>
      <c r="K121" s="25" t="str">
        <f>IF(ISBLANK('Список деталей'!H129),"",VLOOKUP('Список деталей'!H129,обозначениКромки,4,0))</f>
        <v/>
      </c>
      <c r="L121" s="25" t="str">
        <f>IF(ISBLANK('Список деталей'!I129),"",VLOOKUP('Список деталей'!I129,обозначениКромки,4,0))</f>
        <v/>
      </c>
      <c r="M121" s="24" t="str">
        <f>IF(ISBLANK('Список деталей'!Y129),"",('Список деталей'!Y129))</f>
        <v/>
      </c>
      <c r="N121" s="3" t="str">
        <f>IF(ISBLANK('Список деталей'!Z129),"",('Список деталей'!Z129))</f>
        <v/>
      </c>
      <c r="O121" s="3" t="str">
        <f>IF(ISBLANK('Список деталей'!AA129),"",('Список деталей'!AA129))</f>
        <v/>
      </c>
      <c r="P121" s="3" t="str">
        <f>IF(ISBLANK('Список деталей'!AB129),"",('Список деталей'!AB129))</f>
        <v/>
      </c>
      <c r="Q121" s="45">
        <f>VLOOKUP(IF(ISBLANK('Список деталей'!H129)=TRUE,7,'Список деталей'!H129),кромка,2,0)+VLOOKUP(IF(ISBLANK('Список деталей'!I129)=TRUE,7,'Список деталей'!I129),кромка,2,0)+'Список деталей'!C129</f>
        <v>0</v>
      </c>
      <c r="R121" s="45">
        <f>VLOOKUP(IF(ISBLANK('Список деталей'!F129)=TRUE,7,'Список деталей'!F129),кромка,2,0)+VLOOKUP(IF(ISBLANK('Список деталей'!G129)=TRUE,7,'Список деталей'!G129),кромка,2,0)+'Список деталей'!D129</f>
        <v>0</v>
      </c>
      <c r="S121" s="42">
        <f>IF('Список деталей'!H129="",0,1)+IF('Список деталей'!I129="",0,1)+'Список деталей'!C129</f>
        <v>0</v>
      </c>
      <c r="T121" s="42">
        <f>IF('Список деталей'!F129="",0,1)+IF('Список деталей'!G129="",0,1)+'Список деталей'!D129</f>
        <v>0</v>
      </c>
      <c r="U121" s="3" t="str">
        <f>IF(ISBLANK('Список деталей'!K129),"",'Список деталей'!K129)</f>
        <v/>
      </c>
      <c r="V121" s="3" t="str">
        <f>IF(AND('Список деталей'!C129&gt;849,'Список деталей'!D129&gt;849)=TRUE,1*'Список деталей'!E129,"")</f>
        <v/>
      </c>
    </row>
    <row r="122" spans="1:22" x14ac:dyDescent="0.45">
      <c r="A122" s="3">
        <f>IF(ISNUMBER('Список деталей'!A130), 'Список деталей'!A130, "")</f>
        <v>121</v>
      </c>
      <c r="B122" s="30" t="str">
        <f>IF(ISBLANK('Список деталей'!B130),"",'Список деталей'!B130)</f>
        <v/>
      </c>
      <c r="C122" s="3" t="str">
        <f>IF(ISNUMBER('Список деталей'!C130), $W$4,"")</f>
        <v/>
      </c>
      <c r="D122" s="3" t="str">
        <f>IF(ISNUMBER('Список деталей'!C130), 'Список деталей'!$I$4,"")</f>
        <v/>
      </c>
      <c r="E122" s="24" t="str">
        <f>IF(ISNUMBER('Список деталей'!E130), 'Список деталей'!E130, "")</f>
        <v/>
      </c>
      <c r="F122" s="24" t="str">
        <f>IF(ISNUMBER('Список деталей'!C130), 'Список деталей'!C130, "")</f>
        <v/>
      </c>
      <c r="G122" s="24" t="str">
        <f>IF(ISNUMBER('Список деталей'!D130), 'Список деталей'!D130, "")</f>
        <v/>
      </c>
      <c r="H122" s="3" t="str">
        <f t="shared" si="1"/>
        <v xml:space="preserve">    </v>
      </c>
      <c r="I122" s="3" t="str">
        <f>IF(ISBLANK('Список деталей'!F130),"",VLOOKUP('Список деталей'!F130,обозначениКромки,4,0))</f>
        <v/>
      </c>
      <c r="J122" s="25" t="str">
        <f>IF(ISBLANK('Список деталей'!G130),"",VLOOKUP('Список деталей'!G130,обозначениКромки,4,0))</f>
        <v/>
      </c>
      <c r="K122" s="25" t="str">
        <f>IF(ISBLANK('Список деталей'!H130),"",VLOOKUP('Список деталей'!H130,обозначениКромки,4,0))</f>
        <v/>
      </c>
      <c r="L122" s="25" t="str">
        <f>IF(ISBLANK('Список деталей'!I130),"",VLOOKUP('Список деталей'!I130,обозначениКромки,4,0))</f>
        <v/>
      </c>
      <c r="M122" s="24" t="str">
        <f>IF(ISBLANK('Список деталей'!Y130),"",('Список деталей'!Y130))</f>
        <v/>
      </c>
      <c r="N122" s="3" t="str">
        <f>IF(ISBLANK('Список деталей'!Z130),"",('Список деталей'!Z130))</f>
        <v/>
      </c>
      <c r="O122" s="3" t="str">
        <f>IF(ISBLANK('Список деталей'!AA130),"",('Список деталей'!AA130))</f>
        <v/>
      </c>
      <c r="P122" s="3" t="str">
        <f>IF(ISBLANK('Список деталей'!AB130),"",('Список деталей'!AB130))</f>
        <v/>
      </c>
      <c r="Q122" s="45">
        <f>VLOOKUP(IF(ISBLANK('Список деталей'!H130)=TRUE,7,'Список деталей'!H130),кромка,2,0)+VLOOKUP(IF(ISBLANK('Список деталей'!I130)=TRUE,7,'Список деталей'!I130),кромка,2,0)+'Список деталей'!C130</f>
        <v>0</v>
      </c>
      <c r="R122" s="45">
        <f>VLOOKUP(IF(ISBLANK('Список деталей'!F130)=TRUE,7,'Список деталей'!F130),кромка,2,0)+VLOOKUP(IF(ISBLANK('Список деталей'!G130)=TRUE,7,'Список деталей'!G130),кромка,2,0)+'Список деталей'!D130</f>
        <v>0</v>
      </c>
      <c r="S122" s="42">
        <f>IF('Список деталей'!H130="",0,1)+IF('Список деталей'!I130="",0,1)+'Список деталей'!C130</f>
        <v>0</v>
      </c>
      <c r="T122" s="42">
        <f>IF('Список деталей'!F130="",0,1)+IF('Список деталей'!G130="",0,1)+'Список деталей'!D130</f>
        <v>0</v>
      </c>
      <c r="U122" s="3" t="str">
        <f>IF(ISBLANK('Список деталей'!K130),"",'Список деталей'!K130)</f>
        <v/>
      </c>
      <c r="V122" s="3" t="str">
        <f>IF(AND('Список деталей'!C130&gt;849,'Список деталей'!D130&gt;849)=TRUE,1*'Список деталей'!E130,"")</f>
        <v/>
      </c>
    </row>
    <row r="123" spans="1:22" x14ac:dyDescent="0.45">
      <c r="A123" s="3">
        <f>IF(ISNUMBER('Список деталей'!A131), 'Список деталей'!A131, "")</f>
        <v>122</v>
      </c>
      <c r="B123" s="30" t="str">
        <f>IF(ISBLANK('Список деталей'!B131),"",'Список деталей'!B131)</f>
        <v/>
      </c>
      <c r="C123" s="3" t="str">
        <f>IF(ISNUMBER('Список деталей'!C131), $W$4,"")</f>
        <v/>
      </c>
      <c r="D123" s="3" t="str">
        <f>IF(ISNUMBER('Список деталей'!C131), 'Список деталей'!$I$4,"")</f>
        <v/>
      </c>
      <c r="E123" s="24" t="str">
        <f>IF(ISNUMBER('Список деталей'!E131), 'Список деталей'!E131, "")</f>
        <v/>
      </c>
      <c r="F123" s="24" t="str">
        <f>IF(ISNUMBER('Список деталей'!C131), 'Список деталей'!C131, "")</f>
        <v/>
      </c>
      <c r="G123" s="24" t="str">
        <f>IF(ISNUMBER('Список деталей'!D131), 'Список деталей'!D131, "")</f>
        <v/>
      </c>
      <c r="H123" s="3" t="str">
        <f t="shared" si="1"/>
        <v xml:space="preserve">    </v>
      </c>
      <c r="I123" s="3" t="str">
        <f>IF(ISBLANK('Список деталей'!F131),"",VLOOKUP('Список деталей'!F131,обозначениКромки,4,0))</f>
        <v/>
      </c>
      <c r="J123" s="25" t="str">
        <f>IF(ISBLANK('Список деталей'!G131),"",VLOOKUP('Список деталей'!G131,обозначениКромки,4,0))</f>
        <v/>
      </c>
      <c r="K123" s="25" t="str">
        <f>IF(ISBLANK('Список деталей'!H131),"",VLOOKUP('Список деталей'!H131,обозначениКромки,4,0))</f>
        <v/>
      </c>
      <c r="L123" s="25" t="str">
        <f>IF(ISBLANK('Список деталей'!I131),"",VLOOKUP('Список деталей'!I131,обозначениКромки,4,0))</f>
        <v/>
      </c>
      <c r="M123" s="24" t="str">
        <f>IF(ISBLANK('Список деталей'!Y131),"",('Список деталей'!Y131))</f>
        <v/>
      </c>
      <c r="N123" s="3" t="str">
        <f>IF(ISBLANK('Список деталей'!Z131),"",('Список деталей'!Z131))</f>
        <v/>
      </c>
      <c r="O123" s="3" t="str">
        <f>IF(ISBLANK('Список деталей'!AA131),"",('Список деталей'!AA131))</f>
        <v/>
      </c>
      <c r="P123" s="3" t="str">
        <f>IF(ISBLANK('Список деталей'!AB131),"",('Список деталей'!AB131))</f>
        <v/>
      </c>
      <c r="Q123" s="45">
        <f>VLOOKUP(IF(ISBLANK('Список деталей'!H131)=TRUE,7,'Список деталей'!H131),кромка,2,0)+VLOOKUP(IF(ISBLANK('Список деталей'!I131)=TRUE,7,'Список деталей'!I131),кромка,2,0)+'Список деталей'!C131</f>
        <v>0</v>
      </c>
      <c r="R123" s="45">
        <f>VLOOKUP(IF(ISBLANK('Список деталей'!F131)=TRUE,7,'Список деталей'!F131),кромка,2,0)+VLOOKUP(IF(ISBLANK('Список деталей'!G131)=TRUE,7,'Список деталей'!G131),кромка,2,0)+'Список деталей'!D131</f>
        <v>0</v>
      </c>
      <c r="S123" s="42">
        <f>IF('Список деталей'!H131="",0,1)+IF('Список деталей'!I131="",0,1)+'Список деталей'!C131</f>
        <v>0</v>
      </c>
      <c r="T123" s="42">
        <f>IF('Список деталей'!F131="",0,1)+IF('Список деталей'!G131="",0,1)+'Список деталей'!D131</f>
        <v>0</v>
      </c>
      <c r="U123" s="3" t="str">
        <f>IF(ISBLANK('Список деталей'!K131),"",'Список деталей'!K131)</f>
        <v/>
      </c>
      <c r="V123" s="3" t="str">
        <f>IF(AND('Список деталей'!C131&gt;849,'Список деталей'!D131&gt;849)=TRUE,1*'Список деталей'!E131,"")</f>
        <v/>
      </c>
    </row>
    <row r="124" spans="1:22" x14ac:dyDescent="0.45">
      <c r="A124" s="3">
        <f>IF(ISNUMBER('Список деталей'!A132), 'Список деталей'!A132, "")</f>
        <v>123</v>
      </c>
      <c r="B124" s="30" t="str">
        <f>IF(ISBLANK('Список деталей'!B132),"",'Список деталей'!B132)</f>
        <v/>
      </c>
      <c r="C124" s="3" t="str">
        <f>IF(ISNUMBER('Список деталей'!C132), $W$4,"")</f>
        <v/>
      </c>
      <c r="D124" s="3" t="str">
        <f>IF(ISNUMBER('Список деталей'!C132), 'Список деталей'!$I$4,"")</f>
        <v/>
      </c>
      <c r="E124" s="24" t="str">
        <f>IF(ISNUMBER('Список деталей'!E132), 'Список деталей'!E132, "")</f>
        <v/>
      </c>
      <c r="F124" s="24" t="str">
        <f>IF(ISNUMBER('Список деталей'!C132), 'Список деталей'!C132, "")</f>
        <v/>
      </c>
      <c r="G124" s="24" t="str">
        <f>IF(ISNUMBER('Список деталей'!D132), 'Список деталей'!D132, "")</f>
        <v/>
      </c>
      <c r="H124" s="3" t="str">
        <f t="shared" si="1"/>
        <v xml:space="preserve">    </v>
      </c>
      <c r="I124" s="3" t="str">
        <f>IF(ISBLANK('Список деталей'!F132),"",VLOOKUP('Список деталей'!F132,обозначениКромки,4,0))</f>
        <v/>
      </c>
      <c r="J124" s="25" t="str">
        <f>IF(ISBLANK('Список деталей'!G132),"",VLOOKUP('Список деталей'!G132,обозначениКромки,4,0))</f>
        <v/>
      </c>
      <c r="K124" s="25" t="str">
        <f>IF(ISBLANK('Список деталей'!H132),"",VLOOKUP('Список деталей'!H132,обозначениКромки,4,0))</f>
        <v/>
      </c>
      <c r="L124" s="25" t="str">
        <f>IF(ISBLANK('Список деталей'!I132),"",VLOOKUP('Список деталей'!I132,обозначениКромки,4,0))</f>
        <v/>
      </c>
      <c r="M124" s="24" t="str">
        <f>IF(ISBLANK('Список деталей'!Y132),"",('Список деталей'!Y132))</f>
        <v/>
      </c>
      <c r="N124" s="3" t="str">
        <f>IF(ISBLANK('Список деталей'!Z132),"",('Список деталей'!Z132))</f>
        <v/>
      </c>
      <c r="O124" s="3" t="str">
        <f>IF(ISBLANK('Список деталей'!AA132),"",('Список деталей'!AA132))</f>
        <v/>
      </c>
      <c r="P124" s="3" t="str">
        <f>IF(ISBLANK('Список деталей'!AB132),"",('Список деталей'!AB132))</f>
        <v/>
      </c>
      <c r="Q124" s="45">
        <f>VLOOKUP(IF(ISBLANK('Список деталей'!H132)=TRUE,7,'Список деталей'!H132),кромка,2,0)+VLOOKUP(IF(ISBLANK('Список деталей'!I132)=TRUE,7,'Список деталей'!I132),кромка,2,0)+'Список деталей'!C132</f>
        <v>0</v>
      </c>
      <c r="R124" s="45">
        <f>VLOOKUP(IF(ISBLANK('Список деталей'!F132)=TRUE,7,'Список деталей'!F132),кромка,2,0)+VLOOKUP(IF(ISBLANK('Список деталей'!G132)=TRUE,7,'Список деталей'!G132),кромка,2,0)+'Список деталей'!D132</f>
        <v>0</v>
      </c>
      <c r="S124" s="42">
        <f>IF('Список деталей'!H132="",0,1)+IF('Список деталей'!I132="",0,1)+'Список деталей'!C132</f>
        <v>0</v>
      </c>
      <c r="T124" s="42">
        <f>IF('Список деталей'!F132="",0,1)+IF('Список деталей'!G132="",0,1)+'Список деталей'!D132</f>
        <v>0</v>
      </c>
      <c r="U124" s="3" t="str">
        <f>IF(ISBLANK('Список деталей'!K132),"",'Список деталей'!K132)</f>
        <v/>
      </c>
      <c r="V124" s="3" t="str">
        <f>IF(AND('Список деталей'!C132&gt;849,'Список деталей'!D132&gt;849)=TRUE,1*'Список деталей'!E132,"")</f>
        <v/>
      </c>
    </row>
    <row r="125" spans="1:22" x14ac:dyDescent="0.45">
      <c r="A125" s="3">
        <f>IF(ISNUMBER('Список деталей'!A133), 'Список деталей'!A133, "")</f>
        <v>124</v>
      </c>
      <c r="B125" s="30" t="str">
        <f>IF(ISBLANK('Список деталей'!B133),"",'Список деталей'!B133)</f>
        <v/>
      </c>
      <c r="C125" s="3" t="str">
        <f>IF(ISNUMBER('Список деталей'!C133), $W$4,"")</f>
        <v/>
      </c>
      <c r="D125" s="3" t="str">
        <f>IF(ISNUMBER('Список деталей'!C133), 'Список деталей'!$I$4,"")</f>
        <v/>
      </c>
      <c r="E125" s="24" t="str">
        <f>IF(ISNUMBER('Список деталей'!E133), 'Список деталей'!E133, "")</f>
        <v/>
      </c>
      <c r="F125" s="24" t="str">
        <f>IF(ISNUMBER('Список деталей'!C133), 'Список деталей'!C133, "")</f>
        <v/>
      </c>
      <c r="G125" s="24" t="str">
        <f>IF(ISNUMBER('Список деталей'!D133), 'Список деталей'!D133, "")</f>
        <v/>
      </c>
      <c r="H125" s="3" t="str">
        <f t="shared" si="1"/>
        <v xml:space="preserve">    </v>
      </c>
      <c r="I125" s="3" t="str">
        <f>IF(ISBLANK('Список деталей'!F133),"",VLOOKUP('Список деталей'!F133,обозначениКромки,4,0))</f>
        <v/>
      </c>
      <c r="J125" s="25" t="str">
        <f>IF(ISBLANK('Список деталей'!G133),"",VLOOKUP('Список деталей'!G133,обозначениКромки,4,0))</f>
        <v/>
      </c>
      <c r="K125" s="25" t="str">
        <f>IF(ISBLANK('Список деталей'!H133),"",VLOOKUP('Список деталей'!H133,обозначениКромки,4,0))</f>
        <v/>
      </c>
      <c r="L125" s="25" t="str">
        <f>IF(ISBLANK('Список деталей'!I133),"",VLOOKUP('Список деталей'!I133,обозначениКромки,4,0))</f>
        <v/>
      </c>
      <c r="M125" s="24" t="str">
        <f>IF(ISBLANK('Список деталей'!Y133),"",('Список деталей'!Y133))</f>
        <v/>
      </c>
      <c r="N125" s="3" t="str">
        <f>IF(ISBLANK('Список деталей'!Z133),"",('Список деталей'!Z133))</f>
        <v/>
      </c>
      <c r="O125" s="3" t="str">
        <f>IF(ISBLANK('Список деталей'!AA133),"",('Список деталей'!AA133))</f>
        <v/>
      </c>
      <c r="P125" s="3" t="str">
        <f>IF(ISBLANK('Список деталей'!AB133),"",('Список деталей'!AB133))</f>
        <v/>
      </c>
      <c r="Q125" s="45">
        <f>VLOOKUP(IF(ISBLANK('Список деталей'!H133)=TRUE,7,'Список деталей'!H133),кромка,2,0)+VLOOKUP(IF(ISBLANK('Список деталей'!I133)=TRUE,7,'Список деталей'!I133),кромка,2,0)+'Список деталей'!C133</f>
        <v>0</v>
      </c>
      <c r="R125" s="45">
        <f>VLOOKUP(IF(ISBLANK('Список деталей'!F133)=TRUE,7,'Список деталей'!F133),кромка,2,0)+VLOOKUP(IF(ISBLANK('Список деталей'!G133)=TRUE,7,'Список деталей'!G133),кромка,2,0)+'Список деталей'!D133</f>
        <v>0</v>
      </c>
      <c r="S125" s="42">
        <f>IF('Список деталей'!H133="",0,1)+IF('Список деталей'!I133="",0,1)+'Список деталей'!C133</f>
        <v>0</v>
      </c>
      <c r="T125" s="42">
        <f>IF('Список деталей'!F133="",0,1)+IF('Список деталей'!G133="",0,1)+'Список деталей'!D133</f>
        <v>0</v>
      </c>
      <c r="U125" s="3" t="str">
        <f>IF(ISBLANK('Список деталей'!K133),"",'Список деталей'!K133)</f>
        <v/>
      </c>
      <c r="V125" s="3" t="str">
        <f>IF(AND('Список деталей'!C133&gt;849,'Список деталей'!D133&gt;849)=TRUE,1*'Список деталей'!E133,"")</f>
        <v/>
      </c>
    </row>
    <row r="126" spans="1:22" x14ac:dyDescent="0.45">
      <c r="A126" s="3">
        <f>IF(ISNUMBER('Список деталей'!A134), 'Список деталей'!A134, "")</f>
        <v>125</v>
      </c>
      <c r="B126" s="30" t="str">
        <f>IF(ISBLANK('Список деталей'!B134),"",'Список деталей'!B134)</f>
        <v/>
      </c>
      <c r="C126" s="3" t="str">
        <f>IF(ISNUMBER('Список деталей'!C134), $W$4,"")</f>
        <v/>
      </c>
      <c r="D126" s="3" t="str">
        <f>IF(ISNUMBER('Список деталей'!C134), 'Список деталей'!$I$4,"")</f>
        <v/>
      </c>
      <c r="E126" s="24" t="str">
        <f>IF(ISNUMBER('Список деталей'!E134), 'Список деталей'!E134, "")</f>
        <v/>
      </c>
      <c r="F126" s="24" t="str">
        <f>IF(ISNUMBER('Список деталей'!C134), 'Список деталей'!C134, "")</f>
        <v/>
      </c>
      <c r="G126" s="24" t="str">
        <f>IF(ISNUMBER('Список деталей'!D134), 'Список деталей'!D134, "")</f>
        <v/>
      </c>
      <c r="H126" s="3" t="str">
        <f t="shared" si="1"/>
        <v xml:space="preserve">    </v>
      </c>
      <c r="I126" s="3" t="str">
        <f>IF(ISBLANK('Список деталей'!F134),"",VLOOKUP('Список деталей'!F134,обозначениКромки,4,0))</f>
        <v/>
      </c>
      <c r="J126" s="25" t="str">
        <f>IF(ISBLANK('Список деталей'!G134),"",VLOOKUP('Список деталей'!G134,обозначениКромки,4,0))</f>
        <v/>
      </c>
      <c r="K126" s="25" t="str">
        <f>IF(ISBLANK('Список деталей'!H134),"",VLOOKUP('Список деталей'!H134,обозначениКромки,4,0))</f>
        <v/>
      </c>
      <c r="L126" s="25" t="str">
        <f>IF(ISBLANK('Список деталей'!I134),"",VLOOKUP('Список деталей'!I134,обозначениКромки,4,0))</f>
        <v/>
      </c>
      <c r="M126" s="24" t="str">
        <f>IF(ISBLANK('Список деталей'!Y134),"",('Список деталей'!Y134))</f>
        <v/>
      </c>
      <c r="N126" s="3" t="str">
        <f>IF(ISBLANK('Список деталей'!Z134),"",('Список деталей'!Z134))</f>
        <v/>
      </c>
      <c r="O126" s="3" t="str">
        <f>IF(ISBLANK('Список деталей'!AA134),"",('Список деталей'!AA134))</f>
        <v/>
      </c>
      <c r="P126" s="3" t="str">
        <f>IF(ISBLANK('Список деталей'!AB134),"",('Список деталей'!AB134))</f>
        <v/>
      </c>
      <c r="Q126" s="45">
        <f>VLOOKUP(IF(ISBLANK('Список деталей'!H134)=TRUE,7,'Список деталей'!H134),кромка,2,0)+VLOOKUP(IF(ISBLANK('Список деталей'!I134)=TRUE,7,'Список деталей'!I134),кромка,2,0)+'Список деталей'!C134</f>
        <v>0</v>
      </c>
      <c r="R126" s="45">
        <f>VLOOKUP(IF(ISBLANK('Список деталей'!F134)=TRUE,7,'Список деталей'!F134),кромка,2,0)+VLOOKUP(IF(ISBLANK('Список деталей'!G134)=TRUE,7,'Список деталей'!G134),кромка,2,0)+'Список деталей'!D134</f>
        <v>0</v>
      </c>
      <c r="S126" s="42">
        <f>IF('Список деталей'!H134="",0,1)+IF('Список деталей'!I134="",0,1)+'Список деталей'!C134</f>
        <v>0</v>
      </c>
      <c r="T126" s="42">
        <f>IF('Список деталей'!F134="",0,1)+IF('Список деталей'!G134="",0,1)+'Список деталей'!D134</f>
        <v>0</v>
      </c>
      <c r="U126" s="3" t="str">
        <f>IF(ISBLANK('Список деталей'!K134),"",'Список деталей'!K134)</f>
        <v/>
      </c>
      <c r="V126" s="3" t="str">
        <f>IF(AND('Список деталей'!C134&gt;849,'Список деталей'!D134&gt;849)=TRUE,1*'Список деталей'!E134,"")</f>
        <v/>
      </c>
    </row>
    <row r="127" spans="1:22" x14ac:dyDescent="0.45">
      <c r="A127" s="3">
        <f>IF(ISNUMBER('Список деталей'!A135), 'Список деталей'!A135, "")</f>
        <v>126</v>
      </c>
      <c r="B127" s="30" t="str">
        <f>IF(ISBLANK('Список деталей'!B135),"",'Список деталей'!B135)</f>
        <v/>
      </c>
      <c r="C127" s="3" t="str">
        <f>IF(ISNUMBER('Список деталей'!C135), $W$4,"")</f>
        <v/>
      </c>
      <c r="D127" s="3" t="str">
        <f>IF(ISNUMBER('Список деталей'!C135), 'Список деталей'!$I$4,"")</f>
        <v/>
      </c>
      <c r="E127" s="24" t="str">
        <f>IF(ISNUMBER('Список деталей'!E135), 'Список деталей'!E135, "")</f>
        <v/>
      </c>
      <c r="F127" s="24" t="str">
        <f>IF(ISNUMBER('Список деталей'!C135), 'Список деталей'!C135, "")</f>
        <v/>
      </c>
      <c r="G127" s="24" t="str">
        <f>IF(ISNUMBER('Список деталей'!D135), 'Список деталей'!D135, "")</f>
        <v/>
      </c>
      <c r="H127" s="3" t="str">
        <f t="shared" si="1"/>
        <v xml:space="preserve">    </v>
      </c>
      <c r="I127" s="3" t="str">
        <f>IF(ISBLANK('Список деталей'!F135),"",VLOOKUP('Список деталей'!F135,обозначениКромки,4,0))</f>
        <v/>
      </c>
      <c r="J127" s="25" t="str">
        <f>IF(ISBLANK('Список деталей'!G135),"",VLOOKUP('Список деталей'!G135,обозначениКромки,4,0))</f>
        <v/>
      </c>
      <c r="K127" s="25" t="str">
        <f>IF(ISBLANK('Список деталей'!H135),"",VLOOKUP('Список деталей'!H135,обозначениКромки,4,0))</f>
        <v/>
      </c>
      <c r="L127" s="25" t="str">
        <f>IF(ISBLANK('Список деталей'!I135),"",VLOOKUP('Список деталей'!I135,обозначениКромки,4,0))</f>
        <v/>
      </c>
      <c r="M127" s="24" t="str">
        <f>IF(ISBLANK('Список деталей'!Y135),"",('Список деталей'!Y135))</f>
        <v/>
      </c>
      <c r="N127" s="3" t="str">
        <f>IF(ISBLANK('Список деталей'!Z135),"",('Список деталей'!Z135))</f>
        <v/>
      </c>
      <c r="O127" s="3" t="str">
        <f>IF(ISBLANK('Список деталей'!AA135),"",('Список деталей'!AA135))</f>
        <v/>
      </c>
      <c r="P127" s="3" t="str">
        <f>IF(ISBLANK('Список деталей'!AB135),"",('Список деталей'!AB135))</f>
        <v/>
      </c>
      <c r="Q127" s="45">
        <f>VLOOKUP(IF(ISBLANK('Список деталей'!H135)=TRUE,7,'Список деталей'!H135),кромка,2,0)+VLOOKUP(IF(ISBLANK('Список деталей'!I135)=TRUE,7,'Список деталей'!I135),кромка,2,0)+'Список деталей'!C135</f>
        <v>0</v>
      </c>
      <c r="R127" s="45">
        <f>VLOOKUP(IF(ISBLANK('Список деталей'!F135)=TRUE,7,'Список деталей'!F135),кромка,2,0)+VLOOKUP(IF(ISBLANK('Список деталей'!G135)=TRUE,7,'Список деталей'!G135),кромка,2,0)+'Список деталей'!D135</f>
        <v>0</v>
      </c>
      <c r="S127" s="42">
        <f>IF('Список деталей'!H135="",0,1)+IF('Список деталей'!I135="",0,1)+'Список деталей'!C135</f>
        <v>0</v>
      </c>
      <c r="T127" s="42">
        <f>IF('Список деталей'!F135="",0,1)+IF('Список деталей'!G135="",0,1)+'Список деталей'!D135</f>
        <v>0</v>
      </c>
      <c r="U127" s="3" t="str">
        <f>IF(ISBLANK('Список деталей'!K135),"",'Список деталей'!K135)</f>
        <v/>
      </c>
      <c r="V127" s="3" t="str">
        <f>IF(AND('Список деталей'!C135&gt;849,'Список деталей'!D135&gt;849)=TRUE,1*'Список деталей'!E135,"")</f>
        <v/>
      </c>
    </row>
    <row r="128" spans="1:22" x14ac:dyDescent="0.45">
      <c r="A128" s="3">
        <f>IF(ISNUMBER('Список деталей'!A136), 'Список деталей'!A136, "")</f>
        <v>127</v>
      </c>
      <c r="B128" s="30" t="str">
        <f>IF(ISBLANK('Список деталей'!B136),"",'Список деталей'!B136)</f>
        <v/>
      </c>
      <c r="C128" s="3" t="str">
        <f>IF(ISNUMBER('Список деталей'!C136), $W$4,"")</f>
        <v/>
      </c>
      <c r="D128" s="3" t="str">
        <f>IF(ISNUMBER('Список деталей'!C136), 'Список деталей'!$I$4,"")</f>
        <v/>
      </c>
      <c r="E128" s="24" t="str">
        <f>IF(ISNUMBER('Список деталей'!E136), 'Список деталей'!E136, "")</f>
        <v/>
      </c>
      <c r="F128" s="24" t="str">
        <f>IF(ISNUMBER('Список деталей'!C136), 'Список деталей'!C136, "")</f>
        <v/>
      </c>
      <c r="G128" s="24" t="str">
        <f>IF(ISNUMBER('Список деталей'!D136), 'Список деталей'!D136, "")</f>
        <v/>
      </c>
      <c r="H128" s="3" t="str">
        <f t="shared" si="1"/>
        <v xml:space="preserve">    </v>
      </c>
      <c r="I128" s="3" t="str">
        <f>IF(ISBLANK('Список деталей'!F136),"",VLOOKUP('Список деталей'!F136,обозначениКромки,4,0))</f>
        <v/>
      </c>
      <c r="J128" s="25" t="str">
        <f>IF(ISBLANK('Список деталей'!G136),"",VLOOKUP('Список деталей'!G136,обозначениКромки,4,0))</f>
        <v/>
      </c>
      <c r="K128" s="25" t="str">
        <f>IF(ISBLANK('Список деталей'!H136),"",VLOOKUP('Список деталей'!H136,обозначениКромки,4,0))</f>
        <v/>
      </c>
      <c r="L128" s="25" t="str">
        <f>IF(ISBLANK('Список деталей'!I136),"",VLOOKUP('Список деталей'!I136,обозначениКромки,4,0))</f>
        <v/>
      </c>
      <c r="M128" s="24" t="str">
        <f>IF(ISBLANK('Список деталей'!Y136),"",('Список деталей'!Y136))</f>
        <v/>
      </c>
      <c r="N128" s="3" t="str">
        <f>IF(ISBLANK('Список деталей'!Z136),"",('Список деталей'!Z136))</f>
        <v/>
      </c>
      <c r="O128" s="3" t="str">
        <f>IF(ISBLANK('Список деталей'!AA136),"",('Список деталей'!AA136))</f>
        <v/>
      </c>
      <c r="P128" s="3" t="str">
        <f>IF(ISBLANK('Список деталей'!AB136),"",('Список деталей'!AB136))</f>
        <v/>
      </c>
      <c r="Q128" s="45">
        <f>VLOOKUP(IF(ISBLANK('Список деталей'!H136)=TRUE,7,'Список деталей'!H136),кромка,2,0)+VLOOKUP(IF(ISBLANK('Список деталей'!I136)=TRUE,7,'Список деталей'!I136),кромка,2,0)+'Список деталей'!C136</f>
        <v>0</v>
      </c>
      <c r="R128" s="45">
        <f>VLOOKUP(IF(ISBLANK('Список деталей'!F136)=TRUE,7,'Список деталей'!F136),кромка,2,0)+VLOOKUP(IF(ISBLANK('Список деталей'!G136)=TRUE,7,'Список деталей'!G136),кромка,2,0)+'Список деталей'!D136</f>
        <v>0</v>
      </c>
      <c r="S128" s="42">
        <f>IF('Список деталей'!H136="",0,1)+IF('Список деталей'!I136="",0,1)+'Список деталей'!C136</f>
        <v>0</v>
      </c>
      <c r="T128" s="42">
        <f>IF('Список деталей'!F136="",0,1)+IF('Список деталей'!G136="",0,1)+'Список деталей'!D136</f>
        <v>0</v>
      </c>
      <c r="U128" s="3" t="str">
        <f>IF(ISBLANK('Список деталей'!K136),"",'Список деталей'!K136)</f>
        <v/>
      </c>
      <c r="V128" s="3" t="str">
        <f>IF(AND('Список деталей'!C136&gt;849,'Список деталей'!D136&gt;849)=TRUE,1*'Список деталей'!E136,"")</f>
        <v/>
      </c>
    </row>
    <row r="129" spans="1:22" x14ac:dyDescent="0.45">
      <c r="A129" s="3">
        <f>IF(ISNUMBER('Список деталей'!A137), 'Список деталей'!A137, "")</f>
        <v>128</v>
      </c>
      <c r="B129" s="30" t="str">
        <f>IF(ISBLANK('Список деталей'!B137),"",'Список деталей'!B137)</f>
        <v/>
      </c>
      <c r="C129" s="3" t="str">
        <f>IF(ISNUMBER('Список деталей'!C137), $W$4,"")</f>
        <v/>
      </c>
      <c r="D129" s="3" t="str">
        <f>IF(ISNUMBER('Список деталей'!C137), 'Список деталей'!$I$4,"")</f>
        <v/>
      </c>
      <c r="E129" s="24" t="str">
        <f>IF(ISNUMBER('Список деталей'!E137), 'Список деталей'!E137, "")</f>
        <v/>
      </c>
      <c r="F129" s="24" t="str">
        <f>IF(ISNUMBER('Список деталей'!C137), 'Список деталей'!C137, "")</f>
        <v/>
      </c>
      <c r="G129" s="24" t="str">
        <f>IF(ISNUMBER('Список деталей'!D137), 'Список деталей'!D137, "")</f>
        <v/>
      </c>
      <c r="H129" s="3" t="str">
        <f t="shared" si="1"/>
        <v xml:space="preserve">    </v>
      </c>
      <c r="I129" s="3" t="str">
        <f>IF(ISBLANK('Список деталей'!F137),"",VLOOKUP('Список деталей'!F137,обозначениКромки,4,0))</f>
        <v/>
      </c>
      <c r="J129" s="25" t="str">
        <f>IF(ISBLANK('Список деталей'!G137),"",VLOOKUP('Список деталей'!G137,обозначениКромки,4,0))</f>
        <v/>
      </c>
      <c r="K129" s="25" t="str">
        <f>IF(ISBLANK('Список деталей'!H137),"",VLOOKUP('Список деталей'!H137,обозначениКромки,4,0))</f>
        <v/>
      </c>
      <c r="L129" s="25" t="str">
        <f>IF(ISBLANK('Список деталей'!I137),"",VLOOKUP('Список деталей'!I137,обозначениКромки,4,0))</f>
        <v/>
      </c>
      <c r="M129" s="24" t="str">
        <f>IF(ISBLANK('Список деталей'!Y137),"",('Список деталей'!Y137))</f>
        <v/>
      </c>
      <c r="N129" s="3" t="str">
        <f>IF(ISBLANK('Список деталей'!Z137),"",('Список деталей'!Z137))</f>
        <v/>
      </c>
      <c r="O129" s="3" t="str">
        <f>IF(ISBLANK('Список деталей'!AA137),"",('Список деталей'!AA137))</f>
        <v/>
      </c>
      <c r="P129" s="3" t="str">
        <f>IF(ISBLANK('Список деталей'!AB137),"",('Список деталей'!AB137))</f>
        <v/>
      </c>
      <c r="Q129" s="45">
        <f>VLOOKUP(IF(ISBLANK('Список деталей'!H137)=TRUE,7,'Список деталей'!H137),кромка,2,0)+VLOOKUP(IF(ISBLANK('Список деталей'!I137)=TRUE,7,'Список деталей'!I137),кромка,2,0)+'Список деталей'!C137</f>
        <v>0</v>
      </c>
      <c r="R129" s="45">
        <f>VLOOKUP(IF(ISBLANK('Список деталей'!F137)=TRUE,7,'Список деталей'!F137),кромка,2,0)+VLOOKUP(IF(ISBLANK('Список деталей'!G137)=TRUE,7,'Список деталей'!G137),кромка,2,0)+'Список деталей'!D137</f>
        <v>0</v>
      </c>
      <c r="S129" s="42">
        <f>IF('Список деталей'!H137="",0,1)+IF('Список деталей'!I137="",0,1)+'Список деталей'!C137</f>
        <v>0</v>
      </c>
      <c r="T129" s="42">
        <f>IF('Список деталей'!F137="",0,1)+IF('Список деталей'!G137="",0,1)+'Список деталей'!D137</f>
        <v>0</v>
      </c>
      <c r="U129" s="3" t="str">
        <f>IF(ISBLANK('Список деталей'!K137),"",'Список деталей'!K137)</f>
        <v/>
      </c>
      <c r="V129" s="3" t="str">
        <f>IF(AND('Список деталей'!C137&gt;849,'Список деталей'!D137&gt;849)=TRUE,1*'Список деталей'!E137,"")</f>
        <v/>
      </c>
    </row>
    <row r="130" spans="1:22" x14ac:dyDescent="0.45">
      <c r="A130" s="3">
        <f>IF(ISNUMBER('Список деталей'!A138), 'Список деталей'!A138, "")</f>
        <v>129</v>
      </c>
      <c r="B130" s="30" t="str">
        <f>IF(ISBLANK('Список деталей'!B138),"",'Список деталей'!B138)</f>
        <v/>
      </c>
      <c r="C130" s="3" t="str">
        <f>IF(ISNUMBER('Список деталей'!C138), $W$4,"")</f>
        <v/>
      </c>
      <c r="D130" s="3" t="str">
        <f>IF(ISNUMBER('Список деталей'!C138), 'Список деталей'!$I$4,"")</f>
        <v/>
      </c>
      <c r="E130" s="24" t="str">
        <f>IF(ISNUMBER('Список деталей'!E138), 'Список деталей'!E138, "")</f>
        <v/>
      </c>
      <c r="F130" s="24" t="str">
        <f>IF(ISNUMBER('Список деталей'!C138), 'Список деталей'!C138, "")</f>
        <v/>
      </c>
      <c r="G130" s="24" t="str">
        <f>IF(ISNUMBER('Список деталей'!D138), 'Список деталей'!D138, "")</f>
        <v/>
      </c>
      <c r="H130" s="3" t="str">
        <f t="shared" ref="H130:H193" si="2">U130&amp;" "&amp;M130&amp;" "&amp;N130&amp;" "&amp;O130&amp;" "&amp;P130</f>
        <v xml:space="preserve">    </v>
      </c>
      <c r="I130" s="3" t="str">
        <f>IF(ISBLANK('Список деталей'!F138),"",VLOOKUP('Список деталей'!F138,обозначениКромки,4,0))</f>
        <v/>
      </c>
      <c r="J130" s="25" t="str">
        <f>IF(ISBLANK('Список деталей'!G138),"",VLOOKUP('Список деталей'!G138,обозначениКромки,4,0))</f>
        <v/>
      </c>
      <c r="K130" s="25" t="str">
        <f>IF(ISBLANK('Список деталей'!H138),"",VLOOKUP('Список деталей'!H138,обозначениКромки,4,0))</f>
        <v/>
      </c>
      <c r="L130" s="25" t="str">
        <f>IF(ISBLANK('Список деталей'!I138),"",VLOOKUP('Список деталей'!I138,обозначениКромки,4,0))</f>
        <v/>
      </c>
      <c r="M130" s="24" t="str">
        <f>IF(ISBLANK('Список деталей'!Y138),"",('Список деталей'!Y138))</f>
        <v/>
      </c>
      <c r="N130" s="3" t="str">
        <f>IF(ISBLANK('Список деталей'!Z138),"",('Список деталей'!Z138))</f>
        <v/>
      </c>
      <c r="O130" s="3" t="str">
        <f>IF(ISBLANK('Список деталей'!AA138),"",('Список деталей'!AA138))</f>
        <v/>
      </c>
      <c r="P130" s="3" t="str">
        <f>IF(ISBLANK('Список деталей'!AB138),"",('Список деталей'!AB138))</f>
        <v/>
      </c>
      <c r="Q130" s="45">
        <f>VLOOKUP(IF(ISBLANK('Список деталей'!H138)=TRUE,7,'Список деталей'!H138),кромка,2,0)+VLOOKUP(IF(ISBLANK('Список деталей'!I138)=TRUE,7,'Список деталей'!I138),кромка,2,0)+'Список деталей'!C138</f>
        <v>0</v>
      </c>
      <c r="R130" s="45">
        <f>VLOOKUP(IF(ISBLANK('Список деталей'!F138)=TRUE,7,'Список деталей'!F138),кромка,2,0)+VLOOKUP(IF(ISBLANK('Список деталей'!G138)=TRUE,7,'Список деталей'!G138),кромка,2,0)+'Список деталей'!D138</f>
        <v>0</v>
      </c>
      <c r="S130" s="42">
        <f>IF('Список деталей'!H138="",0,1)+IF('Список деталей'!I138="",0,1)+'Список деталей'!C138</f>
        <v>0</v>
      </c>
      <c r="T130" s="42">
        <f>IF('Список деталей'!F138="",0,1)+IF('Список деталей'!G138="",0,1)+'Список деталей'!D138</f>
        <v>0</v>
      </c>
      <c r="U130" s="3" t="str">
        <f>IF(ISBLANK('Список деталей'!K138),"",'Список деталей'!K138)</f>
        <v/>
      </c>
      <c r="V130" s="3" t="str">
        <f>IF(AND('Список деталей'!C138&gt;849,'Список деталей'!D138&gt;849)=TRUE,1*'Список деталей'!E138,"")</f>
        <v/>
      </c>
    </row>
    <row r="131" spans="1:22" x14ac:dyDescent="0.45">
      <c r="A131" s="3">
        <f>IF(ISNUMBER('Список деталей'!A139), 'Список деталей'!A139, "")</f>
        <v>130</v>
      </c>
      <c r="B131" s="30" t="str">
        <f>IF(ISBLANK('Список деталей'!B139),"",'Список деталей'!B139)</f>
        <v/>
      </c>
      <c r="C131" s="3" t="str">
        <f>IF(ISNUMBER('Список деталей'!C139), $W$4,"")</f>
        <v/>
      </c>
      <c r="D131" s="3" t="str">
        <f>IF(ISNUMBER('Список деталей'!C139), 'Список деталей'!$I$4,"")</f>
        <v/>
      </c>
      <c r="E131" s="24" t="str">
        <f>IF(ISNUMBER('Список деталей'!E139), 'Список деталей'!E139, "")</f>
        <v/>
      </c>
      <c r="F131" s="24" t="str">
        <f>IF(ISNUMBER('Список деталей'!C139), 'Список деталей'!C139, "")</f>
        <v/>
      </c>
      <c r="G131" s="24" t="str">
        <f>IF(ISNUMBER('Список деталей'!D139), 'Список деталей'!D139, "")</f>
        <v/>
      </c>
      <c r="H131" s="3" t="str">
        <f t="shared" si="2"/>
        <v xml:space="preserve">    </v>
      </c>
      <c r="I131" s="3" t="str">
        <f>IF(ISBLANK('Список деталей'!F139),"",VLOOKUP('Список деталей'!F139,обозначениКромки,4,0))</f>
        <v/>
      </c>
      <c r="J131" s="25" t="str">
        <f>IF(ISBLANK('Список деталей'!G139),"",VLOOKUP('Список деталей'!G139,обозначениКромки,4,0))</f>
        <v/>
      </c>
      <c r="K131" s="25" t="str">
        <f>IF(ISBLANK('Список деталей'!H139),"",VLOOKUP('Список деталей'!H139,обозначениКромки,4,0))</f>
        <v/>
      </c>
      <c r="L131" s="25" t="str">
        <f>IF(ISBLANK('Список деталей'!I139),"",VLOOKUP('Список деталей'!I139,обозначениКромки,4,0))</f>
        <v/>
      </c>
      <c r="M131" s="24" t="str">
        <f>IF(ISBLANK('Список деталей'!Y139),"",('Список деталей'!Y139))</f>
        <v/>
      </c>
      <c r="N131" s="3" t="str">
        <f>IF(ISBLANK('Список деталей'!Z139),"",('Список деталей'!Z139))</f>
        <v/>
      </c>
      <c r="O131" s="3" t="str">
        <f>IF(ISBLANK('Список деталей'!AA139),"",('Список деталей'!AA139))</f>
        <v/>
      </c>
      <c r="P131" s="3" t="str">
        <f>IF(ISBLANK('Список деталей'!AB139),"",('Список деталей'!AB139))</f>
        <v/>
      </c>
      <c r="Q131" s="45">
        <f>VLOOKUP(IF(ISBLANK('Список деталей'!H139)=TRUE,7,'Список деталей'!H139),кромка,2,0)+VLOOKUP(IF(ISBLANK('Список деталей'!I139)=TRUE,7,'Список деталей'!I139),кромка,2,0)+'Список деталей'!C139</f>
        <v>0</v>
      </c>
      <c r="R131" s="45">
        <f>VLOOKUP(IF(ISBLANK('Список деталей'!F139)=TRUE,7,'Список деталей'!F139),кромка,2,0)+VLOOKUP(IF(ISBLANK('Список деталей'!G139)=TRUE,7,'Список деталей'!G139),кромка,2,0)+'Список деталей'!D139</f>
        <v>0</v>
      </c>
      <c r="S131" s="42">
        <f>IF('Список деталей'!H139="",0,1)+IF('Список деталей'!I139="",0,1)+'Список деталей'!C139</f>
        <v>0</v>
      </c>
      <c r="T131" s="42">
        <f>IF('Список деталей'!F139="",0,1)+IF('Список деталей'!G139="",0,1)+'Список деталей'!D139</f>
        <v>0</v>
      </c>
      <c r="U131" s="3" t="str">
        <f>IF(ISBLANK('Список деталей'!K139),"",'Список деталей'!K139)</f>
        <v/>
      </c>
      <c r="V131" s="3" t="str">
        <f>IF(AND('Список деталей'!C139&gt;849,'Список деталей'!D139&gt;849)=TRUE,1*'Список деталей'!E139,"")</f>
        <v/>
      </c>
    </row>
    <row r="132" spans="1:22" x14ac:dyDescent="0.45">
      <c r="A132" s="3">
        <f>IF(ISNUMBER('Список деталей'!A140), 'Список деталей'!A140, "")</f>
        <v>131</v>
      </c>
      <c r="B132" s="30" t="str">
        <f>IF(ISBLANK('Список деталей'!B140),"",'Список деталей'!B140)</f>
        <v/>
      </c>
      <c r="C132" s="3" t="str">
        <f>IF(ISNUMBER('Список деталей'!C140), $W$4,"")</f>
        <v/>
      </c>
      <c r="D132" s="3" t="str">
        <f>IF(ISNUMBER('Список деталей'!C140), 'Список деталей'!$I$4,"")</f>
        <v/>
      </c>
      <c r="E132" s="24" t="str">
        <f>IF(ISNUMBER('Список деталей'!E140), 'Список деталей'!E140, "")</f>
        <v/>
      </c>
      <c r="F132" s="24" t="str">
        <f>IF(ISNUMBER('Список деталей'!C140), 'Список деталей'!C140, "")</f>
        <v/>
      </c>
      <c r="G132" s="24" t="str">
        <f>IF(ISNUMBER('Список деталей'!D140), 'Список деталей'!D140, "")</f>
        <v/>
      </c>
      <c r="H132" s="3" t="str">
        <f t="shared" si="2"/>
        <v xml:space="preserve">    </v>
      </c>
      <c r="I132" s="3" t="str">
        <f>IF(ISBLANK('Список деталей'!F140),"",VLOOKUP('Список деталей'!F140,обозначениКромки,4,0))</f>
        <v/>
      </c>
      <c r="J132" s="25" t="str">
        <f>IF(ISBLANK('Список деталей'!G140),"",VLOOKUP('Список деталей'!G140,обозначениКромки,4,0))</f>
        <v/>
      </c>
      <c r="K132" s="25" t="str">
        <f>IF(ISBLANK('Список деталей'!H140),"",VLOOKUP('Список деталей'!H140,обозначениКромки,4,0))</f>
        <v/>
      </c>
      <c r="L132" s="25" t="str">
        <f>IF(ISBLANK('Список деталей'!I140),"",VLOOKUP('Список деталей'!I140,обозначениКромки,4,0))</f>
        <v/>
      </c>
      <c r="M132" s="24" t="str">
        <f>IF(ISBLANK('Список деталей'!Y140),"",('Список деталей'!Y140))</f>
        <v/>
      </c>
      <c r="N132" s="3" t="str">
        <f>IF(ISBLANK('Список деталей'!Z140),"",('Список деталей'!Z140))</f>
        <v/>
      </c>
      <c r="O132" s="3" t="str">
        <f>IF(ISBLANK('Список деталей'!AA140),"",('Список деталей'!AA140))</f>
        <v/>
      </c>
      <c r="P132" s="3" t="str">
        <f>IF(ISBLANK('Список деталей'!AB140),"",('Список деталей'!AB140))</f>
        <v/>
      </c>
      <c r="Q132" s="45">
        <f>VLOOKUP(IF(ISBLANK('Список деталей'!H140)=TRUE,7,'Список деталей'!H140),кромка,2,0)+VLOOKUP(IF(ISBLANK('Список деталей'!I140)=TRUE,7,'Список деталей'!I140),кромка,2,0)+'Список деталей'!C140</f>
        <v>0</v>
      </c>
      <c r="R132" s="45">
        <f>VLOOKUP(IF(ISBLANK('Список деталей'!F140)=TRUE,7,'Список деталей'!F140),кромка,2,0)+VLOOKUP(IF(ISBLANK('Список деталей'!G140)=TRUE,7,'Список деталей'!G140),кромка,2,0)+'Список деталей'!D140</f>
        <v>0</v>
      </c>
      <c r="S132" s="42">
        <f>IF('Список деталей'!H140="",0,1)+IF('Список деталей'!I140="",0,1)+'Список деталей'!C140</f>
        <v>0</v>
      </c>
      <c r="T132" s="42">
        <f>IF('Список деталей'!F140="",0,1)+IF('Список деталей'!G140="",0,1)+'Список деталей'!D140</f>
        <v>0</v>
      </c>
      <c r="U132" s="3" t="str">
        <f>IF(ISBLANK('Список деталей'!K140),"",'Список деталей'!K140)</f>
        <v/>
      </c>
      <c r="V132" s="3" t="str">
        <f>IF(AND('Список деталей'!C140&gt;849,'Список деталей'!D140&gt;849)=TRUE,1*'Список деталей'!E140,"")</f>
        <v/>
      </c>
    </row>
    <row r="133" spans="1:22" x14ac:dyDescent="0.45">
      <c r="A133" s="3">
        <f>IF(ISNUMBER('Список деталей'!A141), 'Список деталей'!A141, "")</f>
        <v>132</v>
      </c>
      <c r="B133" s="30" t="str">
        <f>IF(ISBLANK('Список деталей'!B141),"",'Список деталей'!B141)</f>
        <v/>
      </c>
      <c r="C133" s="3" t="str">
        <f>IF(ISNUMBER('Список деталей'!C141), $W$4,"")</f>
        <v/>
      </c>
      <c r="D133" s="3" t="str">
        <f>IF(ISNUMBER('Список деталей'!C141), 'Список деталей'!$I$4,"")</f>
        <v/>
      </c>
      <c r="E133" s="24" t="str">
        <f>IF(ISNUMBER('Список деталей'!E141), 'Список деталей'!E141, "")</f>
        <v/>
      </c>
      <c r="F133" s="24" t="str">
        <f>IF(ISNUMBER('Список деталей'!C141), 'Список деталей'!C141, "")</f>
        <v/>
      </c>
      <c r="G133" s="24" t="str">
        <f>IF(ISNUMBER('Список деталей'!D141), 'Список деталей'!D141, "")</f>
        <v/>
      </c>
      <c r="H133" s="3" t="str">
        <f t="shared" si="2"/>
        <v xml:space="preserve">    </v>
      </c>
      <c r="I133" s="3" t="str">
        <f>IF(ISBLANK('Список деталей'!F141),"",VLOOKUP('Список деталей'!F141,обозначениКромки,4,0))</f>
        <v/>
      </c>
      <c r="J133" s="25" t="str">
        <f>IF(ISBLANK('Список деталей'!G141),"",VLOOKUP('Список деталей'!G141,обозначениКромки,4,0))</f>
        <v/>
      </c>
      <c r="K133" s="25" t="str">
        <f>IF(ISBLANK('Список деталей'!H141),"",VLOOKUP('Список деталей'!H141,обозначениКромки,4,0))</f>
        <v/>
      </c>
      <c r="L133" s="25" t="str">
        <f>IF(ISBLANK('Список деталей'!I141),"",VLOOKUP('Список деталей'!I141,обозначениКромки,4,0))</f>
        <v/>
      </c>
      <c r="M133" s="24" t="str">
        <f>IF(ISBLANK('Список деталей'!Y141),"",('Список деталей'!Y141))</f>
        <v/>
      </c>
      <c r="N133" s="3" t="str">
        <f>IF(ISBLANK('Список деталей'!Z141),"",('Список деталей'!Z141))</f>
        <v/>
      </c>
      <c r="O133" s="3" t="str">
        <f>IF(ISBLANK('Список деталей'!AA141),"",('Список деталей'!AA141))</f>
        <v/>
      </c>
      <c r="P133" s="3" t="str">
        <f>IF(ISBLANK('Список деталей'!AB141),"",('Список деталей'!AB141))</f>
        <v/>
      </c>
      <c r="Q133" s="45">
        <f>VLOOKUP(IF(ISBLANK('Список деталей'!H141)=TRUE,7,'Список деталей'!H141),кромка,2,0)+VLOOKUP(IF(ISBLANK('Список деталей'!I141)=TRUE,7,'Список деталей'!I141),кромка,2,0)+'Список деталей'!C141</f>
        <v>0</v>
      </c>
      <c r="R133" s="45">
        <f>VLOOKUP(IF(ISBLANK('Список деталей'!F141)=TRUE,7,'Список деталей'!F141),кромка,2,0)+VLOOKUP(IF(ISBLANK('Список деталей'!G141)=TRUE,7,'Список деталей'!G141),кромка,2,0)+'Список деталей'!D141</f>
        <v>0</v>
      </c>
      <c r="S133" s="42">
        <f>IF('Список деталей'!H141="",0,1)+IF('Список деталей'!I141="",0,1)+'Список деталей'!C141</f>
        <v>0</v>
      </c>
      <c r="T133" s="42">
        <f>IF('Список деталей'!F141="",0,1)+IF('Список деталей'!G141="",0,1)+'Список деталей'!D141</f>
        <v>0</v>
      </c>
      <c r="U133" s="3" t="str">
        <f>IF(ISBLANK('Список деталей'!K141),"",'Список деталей'!K141)</f>
        <v/>
      </c>
      <c r="V133" s="3" t="str">
        <f>IF(AND('Список деталей'!C141&gt;849,'Список деталей'!D141&gt;849)=TRUE,1*'Список деталей'!E141,"")</f>
        <v/>
      </c>
    </row>
    <row r="134" spans="1:22" x14ac:dyDescent="0.45">
      <c r="A134" s="3">
        <f>IF(ISNUMBER('Список деталей'!A142), 'Список деталей'!A142, "")</f>
        <v>133</v>
      </c>
      <c r="B134" s="30" t="str">
        <f>IF(ISBLANK('Список деталей'!B142),"",'Список деталей'!B142)</f>
        <v/>
      </c>
      <c r="C134" s="3" t="str">
        <f>IF(ISNUMBER('Список деталей'!C142), $W$4,"")</f>
        <v/>
      </c>
      <c r="D134" s="3" t="str">
        <f>IF(ISNUMBER('Список деталей'!C142), 'Список деталей'!$I$4,"")</f>
        <v/>
      </c>
      <c r="E134" s="24" t="str">
        <f>IF(ISNUMBER('Список деталей'!E142), 'Список деталей'!E142, "")</f>
        <v/>
      </c>
      <c r="F134" s="24" t="str">
        <f>IF(ISNUMBER('Список деталей'!C142), 'Список деталей'!C142, "")</f>
        <v/>
      </c>
      <c r="G134" s="24" t="str">
        <f>IF(ISNUMBER('Список деталей'!D142), 'Список деталей'!D142, "")</f>
        <v/>
      </c>
      <c r="H134" s="3" t="str">
        <f t="shared" si="2"/>
        <v xml:space="preserve">    </v>
      </c>
      <c r="I134" s="3" t="str">
        <f>IF(ISBLANK('Список деталей'!F142),"",VLOOKUP('Список деталей'!F142,обозначениКромки,4,0))</f>
        <v/>
      </c>
      <c r="J134" s="25" t="str">
        <f>IF(ISBLANK('Список деталей'!G142),"",VLOOKUP('Список деталей'!G142,обозначениКромки,4,0))</f>
        <v/>
      </c>
      <c r="K134" s="25" t="str">
        <f>IF(ISBLANK('Список деталей'!H142),"",VLOOKUP('Список деталей'!H142,обозначениКромки,4,0))</f>
        <v/>
      </c>
      <c r="L134" s="25" t="str">
        <f>IF(ISBLANK('Список деталей'!I142),"",VLOOKUP('Список деталей'!I142,обозначениКромки,4,0))</f>
        <v/>
      </c>
      <c r="M134" s="24" t="str">
        <f>IF(ISBLANK('Список деталей'!Y142),"",('Список деталей'!Y142))</f>
        <v/>
      </c>
      <c r="N134" s="3" t="str">
        <f>IF(ISBLANK('Список деталей'!Z142),"",('Список деталей'!Z142))</f>
        <v/>
      </c>
      <c r="O134" s="3" t="str">
        <f>IF(ISBLANK('Список деталей'!AA142),"",('Список деталей'!AA142))</f>
        <v/>
      </c>
      <c r="P134" s="3" t="str">
        <f>IF(ISBLANK('Список деталей'!AB142),"",('Список деталей'!AB142))</f>
        <v/>
      </c>
      <c r="Q134" s="45">
        <f>VLOOKUP(IF(ISBLANK('Список деталей'!H142)=TRUE,7,'Список деталей'!H142),кромка,2,0)+VLOOKUP(IF(ISBLANK('Список деталей'!I142)=TRUE,7,'Список деталей'!I142),кромка,2,0)+'Список деталей'!C142</f>
        <v>0</v>
      </c>
      <c r="R134" s="45">
        <f>VLOOKUP(IF(ISBLANK('Список деталей'!F142)=TRUE,7,'Список деталей'!F142),кромка,2,0)+VLOOKUP(IF(ISBLANK('Список деталей'!G142)=TRUE,7,'Список деталей'!G142),кромка,2,0)+'Список деталей'!D142</f>
        <v>0</v>
      </c>
      <c r="S134" s="42">
        <f>IF('Список деталей'!H142="",0,1)+IF('Список деталей'!I142="",0,1)+'Список деталей'!C142</f>
        <v>0</v>
      </c>
      <c r="T134" s="42">
        <f>IF('Список деталей'!F142="",0,1)+IF('Список деталей'!G142="",0,1)+'Список деталей'!D142</f>
        <v>0</v>
      </c>
      <c r="U134" s="3" t="str">
        <f>IF(ISBLANK('Список деталей'!K142),"",'Список деталей'!K142)</f>
        <v/>
      </c>
      <c r="V134" s="3" t="str">
        <f>IF(AND('Список деталей'!C142&gt;849,'Список деталей'!D142&gt;849)=TRUE,1*'Список деталей'!E142,"")</f>
        <v/>
      </c>
    </row>
    <row r="135" spans="1:22" x14ac:dyDescent="0.45">
      <c r="A135" s="3">
        <f>IF(ISNUMBER('Список деталей'!A143), 'Список деталей'!A143, "")</f>
        <v>134</v>
      </c>
      <c r="B135" s="30" t="str">
        <f>IF(ISBLANK('Список деталей'!B143),"",'Список деталей'!B143)</f>
        <v/>
      </c>
      <c r="C135" s="3" t="str">
        <f>IF(ISNUMBER('Список деталей'!C143), $W$4,"")</f>
        <v/>
      </c>
      <c r="D135" s="3" t="str">
        <f>IF(ISNUMBER('Список деталей'!C143), 'Список деталей'!$I$4,"")</f>
        <v/>
      </c>
      <c r="E135" s="24" t="str">
        <f>IF(ISNUMBER('Список деталей'!E143), 'Список деталей'!E143, "")</f>
        <v/>
      </c>
      <c r="F135" s="24" t="str">
        <f>IF(ISNUMBER('Список деталей'!C143), 'Список деталей'!C143, "")</f>
        <v/>
      </c>
      <c r="G135" s="24" t="str">
        <f>IF(ISNUMBER('Список деталей'!D143), 'Список деталей'!D143, "")</f>
        <v/>
      </c>
      <c r="H135" s="3" t="str">
        <f t="shared" si="2"/>
        <v xml:space="preserve">    </v>
      </c>
      <c r="I135" s="3" t="str">
        <f>IF(ISBLANK('Список деталей'!F143),"",VLOOKUP('Список деталей'!F143,обозначениКромки,4,0))</f>
        <v/>
      </c>
      <c r="J135" s="25" t="str">
        <f>IF(ISBLANK('Список деталей'!G143),"",VLOOKUP('Список деталей'!G143,обозначениКромки,4,0))</f>
        <v/>
      </c>
      <c r="K135" s="25" t="str">
        <f>IF(ISBLANK('Список деталей'!H143),"",VLOOKUP('Список деталей'!H143,обозначениКромки,4,0))</f>
        <v/>
      </c>
      <c r="L135" s="25" t="str">
        <f>IF(ISBLANK('Список деталей'!I143),"",VLOOKUP('Список деталей'!I143,обозначениКромки,4,0))</f>
        <v/>
      </c>
      <c r="M135" s="24" t="str">
        <f>IF(ISBLANK('Список деталей'!Y143),"",('Список деталей'!Y143))</f>
        <v/>
      </c>
      <c r="N135" s="3" t="str">
        <f>IF(ISBLANK('Список деталей'!Z143),"",('Список деталей'!Z143))</f>
        <v/>
      </c>
      <c r="O135" s="3" t="str">
        <f>IF(ISBLANK('Список деталей'!AA143),"",('Список деталей'!AA143))</f>
        <v/>
      </c>
      <c r="P135" s="3" t="str">
        <f>IF(ISBLANK('Список деталей'!AB143),"",('Список деталей'!AB143))</f>
        <v/>
      </c>
      <c r="Q135" s="45">
        <f>VLOOKUP(IF(ISBLANK('Список деталей'!H143)=TRUE,7,'Список деталей'!H143),кромка,2,0)+VLOOKUP(IF(ISBLANK('Список деталей'!I143)=TRUE,7,'Список деталей'!I143),кромка,2,0)+'Список деталей'!C143</f>
        <v>0</v>
      </c>
      <c r="R135" s="45">
        <f>VLOOKUP(IF(ISBLANK('Список деталей'!F143)=TRUE,7,'Список деталей'!F143),кромка,2,0)+VLOOKUP(IF(ISBLANK('Список деталей'!G143)=TRUE,7,'Список деталей'!G143),кромка,2,0)+'Список деталей'!D143</f>
        <v>0</v>
      </c>
      <c r="S135" s="42">
        <f>IF('Список деталей'!H143="",0,1)+IF('Список деталей'!I143="",0,1)+'Список деталей'!C143</f>
        <v>0</v>
      </c>
      <c r="T135" s="42">
        <f>IF('Список деталей'!F143="",0,1)+IF('Список деталей'!G143="",0,1)+'Список деталей'!D143</f>
        <v>0</v>
      </c>
      <c r="U135" s="3" t="str">
        <f>IF(ISBLANK('Список деталей'!K143),"",'Список деталей'!K143)</f>
        <v/>
      </c>
      <c r="V135" s="3" t="str">
        <f>IF(AND('Список деталей'!C143&gt;849,'Список деталей'!D143&gt;849)=TRUE,1*'Список деталей'!E143,"")</f>
        <v/>
      </c>
    </row>
    <row r="136" spans="1:22" x14ac:dyDescent="0.45">
      <c r="A136" s="3">
        <f>IF(ISNUMBER('Список деталей'!A144), 'Список деталей'!A144, "")</f>
        <v>135</v>
      </c>
      <c r="B136" s="30" t="str">
        <f>IF(ISBLANK('Список деталей'!B144),"",'Список деталей'!B144)</f>
        <v/>
      </c>
      <c r="C136" s="3" t="str">
        <f>IF(ISNUMBER('Список деталей'!C144), $W$4,"")</f>
        <v/>
      </c>
      <c r="D136" s="3" t="str">
        <f>IF(ISNUMBER('Список деталей'!C144), 'Список деталей'!$I$4,"")</f>
        <v/>
      </c>
      <c r="E136" s="24" t="str">
        <f>IF(ISNUMBER('Список деталей'!E144), 'Список деталей'!E144, "")</f>
        <v/>
      </c>
      <c r="F136" s="24" t="str">
        <f>IF(ISNUMBER('Список деталей'!C144), 'Список деталей'!C144, "")</f>
        <v/>
      </c>
      <c r="G136" s="24" t="str">
        <f>IF(ISNUMBER('Список деталей'!D144), 'Список деталей'!D144, "")</f>
        <v/>
      </c>
      <c r="H136" s="3" t="str">
        <f t="shared" si="2"/>
        <v xml:space="preserve">    </v>
      </c>
      <c r="I136" s="3" t="str">
        <f>IF(ISBLANK('Список деталей'!F144),"",VLOOKUP('Список деталей'!F144,обозначениКромки,4,0))</f>
        <v/>
      </c>
      <c r="J136" s="25" t="str">
        <f>IF(ISBLANK('Список деталей'!G144),"",VLOOKUP('Список деталей'!G144,обозначениКромки,4,0))</f>
        <v/>
      </c>
      <c r="K136" s="25" t="str">
        <f>IF(ISBLANK('Список деталей'!H144),"",VLOOKUP('Список деталей'!H144,обозначениКромки,4,0))</f>
        <v/>
      </c>
      <c r="L136" s="25" t="str">
        <f>IF(ISBLANK('Список деталей'!I144),"",VLOOKUP('Список деталей'!I144,обозначениКромки,4,0))</f>
        <v/>
      </c>
      <c r="M136" s="24" t="str">
        <f>IF(ISBLANK('Список деталей'!Y144),"",('Список деталей'!Y144))</f>
        <v/>
      </c>
      <c r="N136" s="3" t="str">
        <f>IF(ISBLANK('Список деталей'!Z144),"",('Список деталей'!Z144))</f>
        <v/>
      </c>
      <c r="O136" s="3" t="str">
        <f>IF(ISBLANK('Список деталей'!AA144),"",('Список деталей'!AA144))</f>
        <v/>
      </c>
      <c r="P136" s="3" t="str">
        <f>IF(ISBLANK('Список деталей'!AB144),"",('Список деталей'!AB144))</f>
        <v/>
      </c>
      <c r="Q136" s="45">
        <f>VLOOKUP(IF(ISBLANK('Список деталей'!H144)=TRUE,7,'Список деталей'!H144),кромка,2,0)+VLOOKUP(IF(ISBLANK('Список деталей'!I144)=TRUE,7,'Список деталей'!I144),кромка,2,0)+'Список деталей'!C144</f>
        <v>0</v>
      </c>
      <c r="R136" s="45">
        <f>VLOOKUP(IF(ISBLANK('Список деталей'!F144)=TRUE,7,'Список деталей'!F144),кромка,2,0)+VLOOKUP(IF(ISBLANK('Список деталей'!G144)=TRUE,7,'Список деталей'!G144),кромка,2,0)+'Список деталей'!D144</f>
        <v>0</v>
      </c>
      <c r="S136" s="42">
        <f>IF('Список деталей'!H144="",0,1)+IF('Список деталей'!I144="",0,1)+'Список деталей'!C144</f>
        <v>0</v>
      </c>
      <c r="T136" s="42">
        <f>IF('Список деталей'!F144="",0,1)+IF('Список деталей'!G144="",0,1)+'Список деталей'!D144</f>
        <v>0</v>
      </c>
      <c r="U136" s="3" t="str">
        <f>IF(ISBLANK('Список деталей'!K144),"",'Список деталей'!K144)</f>
        <v/>
      </c>
      <c r="V136" s="3" t="str">
        <f>IF(AND('Список деталей'!C144&gt;849,'Список деталей'!D144&gt;849)=TRUE,1*'Список деталей'!E144,"")</f>
        <v/>
      </c>
    </row>
    <row r="137" spans="1:22" x14ac:dyDescent="0.45">
      <c r="A137" s="3">
        <f>IF(ISNUMBER('Список деталей'!A145), 'Список деталей'!A145, "")</f>
        <v>136</v>
      </c>
      <c r="B137" s="30" t="str">
        <f>IF(ISBLANK('Список деталей'!B145),"",'Список деталей'!B145)</f>
        <v/>
      </c>
      <c r="C137" s="3" t="str">
        <f>IF(ISNUMBER('Список деталей'!C145), $W$4,"")</f>
        <v/>
      </c>
      <c r="D137" s="3" t="str">
        <f>IF(ISNUMBER('Список деталей'!C145), 'Список деталей'!$I$4,"")</f>
        <v/>
      </c>
      <c r="E137" s="24" t="str">
        <f>IF(ISNUMBER('Список деталей'!E145), 'Список деталей'!E145, "")</f>
        <v/>
      </c>
      <c r="F137" s="24" t="str">
        <f>IF(ISNUMBER('Список деталей'!C145), 'Список деталей'!C145, "")</f>
        <v/>
      </c>
      <c r="G137" s="24" t="str">
        <f>IF(ISNUMBER('Список деталей'!D145), 'Список деталей'!D145, "")</f>
        <v/>
      </c>
      <c r="H137" s="3" t="str">
        <f t="shared" si="2"/>
        <v xml:space="preserve">    </v>
      </c>
      <c r="I137" s="3" t="str">
        <f>IF(ISBLANK('Список деталей'!F145),"",VLOOKUP('Список деталей'!F145,обозначениКромки,4,0))</f>
        <v/>
      </c>
      <c r="J137" s="25" t="str">
        <f>IF(ISBLANK('Список деталей'!G145),"",VLOOKUP('Список деталей'!G145,обозначениКромки,4,0))</f>
        <v/>
      </c>
      <c r="K137" s="25" t="str">
        <f>IF(ISBLANK('Список деталей'!H145),"",VLOOKUP('Список деталей'!H145,обозначениКромки,4,0))</f>
        <v/>
      </c>
      <c r="L137" s="25" t="str">
        <f>IF(ISBLANK('Список деталей'!I145),"",VLOOKUP('Список деталей'!I145,обозначениКромки,4,0))</f>
        <v/>
      </c>
      <c r="M137" s="24" t="str">
        <f>IF(ISBLANK('Список деталей'!Y145),"",('Список деталей'!Y145))</f>
        <v/>
      </c>
      <c r="N137" s="3" t="str">
        <f>IF(ISBLANK('Список деталей'!Z145),"",('Список деталей'!Z145))</f>
        <v/>
      </c>
      <c r="O137" s="3" t="str">
        <f>IF(ISBLANK('Список деталей'!AA145),"",('Список деталей'!AA145))</f>
        <v/>
      </c>
      <c r="P137" s="3" t="str">
        <f>IF(ISBLANK('Список деталей'!AB145),"",('Список деталей'!AB145))</f>
        <v/>
      </c>
      <c r="Q137" s="45">
        <f>VLOOKUP(IF(ISBLANK('Список деталей'!H145)=TRUE,7,'Список деталей'!H145),кромка,2,0)+VLOOKUP(IF(ISBLANK('Список деталей'!I145)=TRUE,7,'Список деталей'!I145),кромка,2,0)+'Список деталей'!C145</f>
        <v>0</v>
      </c>
      <c r="R137" s="45">
        <f>VLOOKUP(IF(ISBLANK('Список деталей'!F145)=TRUE,7,'Список деталей'!F145),кромка,2,0)+VLOOKUP(IF(ISBLANK('Список деталей'!G145)=TRUE,7,'Список деталей'!G145),кромка,2,0)+'Список деталей'!D145</f>
        <v>0</v>
      </c>
      <c r="S137" s="42">
        <f>IF('Список деталей'!H145="",0,1)+IF('Список деталей'!I145="",0,1)+'Список деталей'!C145</f>
        <v>0</v>
      </c>
      <c r="T137" s="42">
        <f>IF('Список деталей'!F145="",0,1)+IF('Список деталей'!G145="",0,1)+'Список деталей'!D145</f>
        <v>0</v>
      </c>
      <c r="U137" s="3" t="str">
        <f>IF(ISBLANK('Список деталей'!K145),"",'Список деталей'!K145)</f>
        <v/>
      </c>
      <c r="V137" s="3" t="str">
        <f>IF(AND('Список деталей'!C145&gt;849,'Список деталей'!D145&gt;849)=TRUE,1*'Список деталей'!E145,"")</f>
        <v/>
      </c>
    </row>
    <row r="138" spans="1:22" x14ac:dyDescent="0.45">
      <c r="A138" s="3">
        <f>IF(ISNUMBER('Список деталей'!A146), 'Список деталей'!A146, "")</f>
        <v>137</v>
      </c>
      <c r="B138" s="30" t="str">
        <f>IF(ISBLANK('Список деталей'!B146),"",'Список деталей'!B146)</f>
        <v/>
      </c>
      <c r="C138" s="3" t="str">
        <f>IF(ISNUMBER('Список деталей'!C146), $W$4,"")</f>
        <v/>
      </c>
      <c r="D138" s="3" t="str">
        <f>IF(ISNUMBER('Список деталей'!C146), 'Список деталей'!$I$4,"")</f>
        <v/>
      </c>
      <c r="E138" s="24" t="str">
        <f>IF(ISNUMBER('Список деталей'!E146), 'Список деталей'!E146, "")</f>
        <v/>
      </c>
      <c r="F138" s="24" t="str">
        <f>IF(ISNUMBER('Список деталей'!C146), 'Список деталей'!C146, "")</f>
        <v/>
      </c>
      <c r="G138" s="24" t="str">
        <f>IF(ISNUMBER('Список деталей'!D146), 'Список деталей'!D146, "")</f>
        <v/>
      </c>
      <c r="H138" s="3" t="str">
        <f t="shared" si="2"/>
        <v xml:space="preserve">    </v>
      </c>
      <c r="I138" s="3" t="str">
        <f>IF(ISBLANK('Список деталей'!F146),"",VLOOKUP('Список деталей'!F146,обозначениКромки,4,0))</f>
        <v/>
      </c>
      <c r="J138" s="25" t="str">
        <f>IF(ISBLANK('Список деталей'!G146),"",VLOOKUP('Список деталей'!G146,обозначениКромки,4,0))</f>
        <v/>
      </c>
      <c r="K138" s="25" t="str">
        <f>IF(ISBLANK('Список деталей'!H146),"",VLOOKUP('Список деталей'!H146,обозначениКромки,4,0))</f>
        <v/>
      </c>
      <c r="L138" s="25" t="str">
        <f>IF(ISBLANK('Список деталей'!I146),"",VLOOKUP('Список деталей'!I146,обозначениКромки,4,0))</f>
        <v/>
      </c>
      <c r="M138" s="24" t="str">
        <f>IF(ISBLANK('Список деталей'!Y146),"",('Список деталей'!Y146))</f>
        <v/>
      </c>
      <c r="N138" s="3" t="str">
        <f>IF(ISBLANK('Список деталей'!Z146),"",('Список деталей'!Z146))</f>
        <v/>
      </c>
      <c r="O138" s="3" t="str">
        <f>IF(ISBLANK('Список деталей'!AA146),"",('Список деталей'!AA146))</f>
        <v/>
      </c>
      <c r="P138" s="3" t="str">
        <f>IF(ISBLANK('Список деталей'!AB146),"",('Список деталей'!AB146))</f>
        <v/>
      </c>
      <c r="Q138" s="45">
        <f>VLOOKUP(IF(ISBLANK('Список деталей'!H146)=TRUE,7,'Список деталей'!H146),кромка,2,0)+VLOOKUP(IF(ISBLANK('Список деталей'!I146)=TRUE,7,'Список деталей'!I146),кромка,2,0)+'Список деталей'!C146</f>
        <v>0</v>
      </c>
      <c r="R138" s="45">
        <f>VLOOKUP(IF(ISBLANK('Список деталей'!F146)=TRUE,7,'Список деталей'!F146),кромка,2,0)+VLOOKUP(IF(ISBLANK('Список деталей'!G146)=TRUE,7,'Список деталей'!G146),кромка,2,0)+'Список деталей'!D146</f>
        <v>0</v>
      </c>
      <c r="S138" s="42">
        <f>IF('Список деталей'!H146="",0,1)+IF('Список деталей'!I146="",0,1)+'Список деталей'!C146</f>
        <v>0</v>
      </c>
      <c r="T138" s="42">
        <f>IF('Список деталей'!F146="",0,1)+IF('Список деталей'!G146="",0,1)+'Список деталей'!D146</f>
        <v>0</v>
      </c>
      <c r="U138" s="3" t="str">
        <f>IF(ISBLANK('Список деталей'!K146),"",'Список деталей'!K146)</f>
        <v/>
      </c>
      <c r="V138" s="3" t="str">
        <f>IF(AND('Список деталей'!C146&gt;849,'Список деталей'!D146&gt;849)=TRUE,1*'Список деталей'!E146,"")</f>
        <v/>
      </c>
    </row>
    <row r="139" spans="1:22" x14ac:dyDescent="0.45">
      <c r="A139" s="3">
        <f>IF(ISNUMBER('Список деталей'!A147), 'Список деталей'!A147, "")</f>
        <v>138</v>
      </c>
      <c r="B139" s="30" t="str">
        <f>IF(ISBLANK('Список деталей'!B147),"",'Список деталей'!B147)</f>
        <v/>
      </c>
      <c r="C139" s="3" t="str">
        <f>IF(ISNUMBER('Список деталей'!C147), $W$4,"")</f>
        <v/>
      </c>
      <c r="D139" s="3" t="str">
        <f>IF(ISNUMBER('Список деталей'!C147), 'Список деталей'!$I$4,"")</f>
        <v/>
      </c>
      <c r="E139" s="24" t="str">
        <f>IF(ISNUMBER('Список деталей'!E147), 'Список деталей'!E147, "")</f>
        <v/>
      </c>
      <c r="F139" s="24" t="str">
        <f>IF(ISNUMBER('Список деталей'!C147), 'Список деталей'!C147, "")</f>
        <v/>
      </c>
      <c r="G139" s="24" t="str">
        <f>IF(ISNUMBER('Список деталей'!D147), 'Список деталей'!D147, "")</f>
        <v/>
      </c>
      <c r="H139" s="3" t="str">
        <f t="shared" si="2"/>
        <v xml:space="preserve">    </v>
      </c>
      <c r="I139" s="3" t="str">
        <f>IF(ISBLANK('Список деталей'!F147),"",VLOOKUP('Список деталей'!F147,обозначениКромки,4,0))</f>
        <v/>
      </c>
      <c r="J139" s="25" t="str">
        <f>IF(ISBLANK('Список деталей'!G147),"",VLOOKUP('Список деталей'!G147,обозначениКромки,4,0))</f>
        <v/>
      </c>
      <c r="K139" s="25" t="str">
        <f>IF(ISBLANK('Список деталей'!H147),"",VLOOKUP('Список деталей'!H147,обозначениКромки,4,0))</f>
        <v/>
      </c>
      <c r="L139" s="25" t="str">
        <f>IF(ISBLANK('Список деталей'!I147),"",VLOOKUP('Список деталей'!I147,обозначениКромки,4,0))</f>
        <v/>
      </c>
      <c r="M139" s="24" t="str">
        <f>IF(ISBLANK('Список деталей'!Y147),"",('Список деталей'!Y147))</f>
        <v/>
      </c>
      <c r="N139" s="3" t="str">
        <f>IF(ISBLANK('Список деталей'!Z147),"",('Список деталей'!Z147))</f>
        <v/>
      </c>
      <c r="O139" s="3" t="str">
        <f>IF(ISBLANK('Список деталей'!AA147),"",('Список деталей'!AA147))</f>
        <v/>
      </c>
      <c r="P139" s="3" t="str">
        <f>IF(ISBLANK('Список деталей'!AB147),"",('Список деталей'!AB147))</f>
        <v/>
      </c>
      <c r="Q139" s="45">
        <f>VLOOKUP(IF(ISBLANK('Список деталей'!H147)=TRUE,7,'Список деталей'!H147),кромка,2,0)+VLOOKUP(IF(ISBLANK('Список деталей'!I147)=TRUE,7,'Список деталей'!I147),кромка,2,0)+'Список деталей'!C147</f>
        <v>0</v>
      </c>
      <c r="R139" s="45">
        <f>VLOOKUP(IF(ISBLANK('Список деталей'!F147)=TRUE,7,'Список деталей'!F147),кромка,2,0)+VLOOKUP(IF(ISBLANK('Список деталей'!G147)=TRUE,7,'Список деталей'!G147),кромка,2,0)+'Список деталей'!D147</f>
        <v>0</v>
      </c>
      <c r="S139" s="42">
        <f>IF('Список деталей'!H147="",0,1)+IF('Список деталей'!I147="",0,1)+'Список деталей'!C147</f>
        <v>0</v>
      </c>
      <c r="T139" s="42">
        <f>IF('Список деталей'!F147="",0,1)+IF('Список деталей'!G147="",0,1)+'Список деталей'!D147</f>
        <v>0</v>
      </c>
      <c r="U139" s="3" t="str">
        <f>IF(ISBLANK('Список деталей'!K147),"",'Список деталей'!K147)</f>
        <v/>
      </c>
      <c r="V139" s="3" t="str">
        <f>IF(AND('Список деталей'!C147&gt;849,'Список деталей'!D147&gt;849)=TRUE,1*'Список деталей'!E147,"")</f>
        <v/>
      </c>
    </row>
    <row r="140" spans="1:22" x14ac:dyDescent="0.45">
      <c r="A140" s="3">
        <f>IF(ISNUMBER('Список деталей'!A148), 'Список деталей'!A148, "")</f>
        <v>139</v>
      </c>
      <c r="B140" s="30" t="str">
        <f>IF(ISBLANK('Список деталей'!B148),"",'Список деталей'!B148)</f>
        <v/>
      </c>
      <c r="C140" s="3" t="str">
        <f>IF(ISNUMBER('Список деталей'!C148), $W$4,"")</f>
        <v/>
      </c>
      <c r="D140" s="3" t="str">
        <f>IF(ISNUMBER('Список деталей'!C148), 'Список деталей'!$I$4,"")</f>
        <v/>
      </c>
      <c r="E140" s="24" t="str">
        <f>IF(ISNUMBER('Список деталей'!E148), 'Список деталей'!E148, "")</f>
        <v/>
      </c>
      <c r="F140" s="24" t="str">
        <f>IF(ISNUMBER('Список деталей'!C148), 'Список деталей'!C148, "")</f>
        <v/>
      </c>
      <c r="G140" s="24" t="str">
        <f>IF(ISNUMBER('Список деталей'!D148), 'Список деталей'!D148, "")</f>
        <v/>
      </c>
      <c r="H140" s="3" t="str">
        <f t="shared" si="2"/>
        <v xml:space="preserve">    </v>
      </c>
      <c r="I140" s="3" t="str">
        <f>IF(ISBLANK('Список деталей'!F148),"",VLOOKUP('Список деталей'!F148,обозначениКромки,4,0))</f>
        <v/>
      </c>
      <c r="J140" s="25" t="str">
        <f>IF(ISBLANK('Список деталей'!G148),"",VLOOKUP('Список деталей'!G148,обозначениКромки,4,0))</f>
        <v/>
      </c>
      <c r="K140" s="25" t="str">
        <f>IF(ISBLANK('Список деталей'!H148),"",VLOOKUP('Список деталей'!H148,обозначениКромки,4,0))</f>
        <v/>
      </c>
      <c r="L140" s="25" t="str">
        <f>IF(ISBLANK('Список деталей'!I148),"",VLOOKUP('Список деталей'!I148,обозначениКромки,4,0))</f>
        <v/>
      </c>
      <c r="M140" s="24" t="str">
        <f>IF(ISBLANK('Список деталей'!Y148),"",('Список деталей'!Y148))</f>
        <v/>
      </c>
      <c r="N140" s="3" t="str">
        <f>IF(ISBLANK('Список деталей'!Z148),"",('Список деталей'!Z148))</f>
        <v/>
      </c>
      <c r="O140" s="3" t="str">
        <f>IF(ISBLANK('Список деталей'!AA148),"",('Список деталей'!AA148))</f>
        <v/>
      </c>
      <c r="P140" s="3" t="str">
        <f>IF(ISBLANK('Список деталей'!AB148),"",('Список деталей'!AB148))</f>
        <v/>
      </c>
      <c r="Q140" s="45">
        <f>VLOOKUP(IF(ISBLANK('Список деталей'!H148)=TRUE,7,'Список деталей'!H148),кромка,2,0)+VLOOKUP(IF(ISBLANK('Список деталей'!I148)=TRUE,7,'Список деталей'!I148),кромка,2,0)+'Список деталей'!C148</f>
        <v>0</v>
      </c>
      <c r="R140" s="45">
        <f>VLOOKUP(IF(ISBLANK('Список деталей'!F148)=TRUE,7,'Список деталей'!F148),кромка,2,0)+VLOOKUP(IF(ISBLANK('Список деталей'!G148)=TRUE,7,'Список деталей'!G148),кромка,2,0)+'Список деталей'!D148</f>
        <v>0</v>
      </c>
      <c r="S140" s="42">
        <f>IF('Список деталей'!H148="",0,1)+IF('Список деталей'!I148="",0,1)+'Список деталей'!C148</f>
        <v>0</v>
      </c>
      <c r="T140" s="42">
        <f>IF('Список деталей'!F148="",0,1)+IF('Список деталей'!G148="",0,1)+'Список деталей'!D148</f>
        <v>0</v>
      </c>
      <c r="U140" s="3" t="str">
        <f>IF(ISBLANK('Список деталей'!K148),"",'Список деталей'!K148)</f>
        <v/>
      </c>
      <c r="V140" s="3" t="str">
        <f>IF(AND('Список деталей'!C148&gt;849,'Список деталей'!D148&gt;849)=TRUE,1*'Список деталей'!E148,"")</f>
        <v/>
      </c>
    </row>
    <row r="141" spans="1:22" x14ac:dyDescent="0.45">
      <c r="A141" s="3">
        <f>IF(ISNUMBER('Список деталей'!A149), 'Список деталей'!A149, "")</f>
        <v>140</v>
      </c>
      <c r="B141" s="30" t="str">
        <f>IF(ISBLANK('Список деталей'!B149),"",'Список деталей'!B149)</f>
        <v/>
      </c>
      <c r="C141" s="3" t="str">
        <f>IF(ISNUMBER('Список деталей'!C149), $W$4,"")</f>
        <v/>
      </c>
      <c r="D141" s="3" t="str">
        <f>IF(ISNUMBER('Список деталей'!C149), 'Список деталей'!$I$4,"")</f>
        <v/>
      </c>
      <c r="E141" s="24" t="str">
        <f>IF(ISNUMBER('Список деталей'!E149), 'Список деталей'!E149, "")</f>
        <v/>
      </c>
      <c r="F141" s="24" t="str">
        <f>IF(ISNUMBER('Список деталей'!C149), 'Список деталей'!C149, "")</f>
        <v/>
      </c>
      <c r="G141" s="24" t="str">
        <f>IF(ISNUMBER('Список деталей'!D149), 'Список деталей'!D149, "")</f>
        <v/>
      </c>
      <c r="H141" s="3" t="str">
        <f t="shared" si="2"/>
        <v xml:space="preserve">    </v>
      </c>
      <c r="I141" s="3" t="str">
        <f>IF(ISBLANK('Список деталей'!F149),"",VLOOKUP('Список деталей'!F149,обозначениКромки,4,0))</f>
        <v/>
      </c>
      <c r="J141" s="25" t="str">
        <f>IF(ISBLANK('Список деталей'!G149),"",VLOOKUP('Список деталей'!G149,обозначениКромки,4,0))</f>
        <v/>
      </c>
      <c r="K141" s="25" t="str">
        <f>IF(ISBLANK('Список деталей'!H149),"",VLOOKUP('Список деталей'!H149,обозначениКромки,4,0))</f>
        <v/>
      </c>
      <c r="L141" s="25" t="str">
        <f>IF(ISBLANK('Список деталей'!I149),"",VLOOKUP('Список деталей'!I149,обозначениКромки,4,0))</f>
        <v/>
      </c>
      <c r="M141" s="24" t="str">
        <f>IF(ISBLANK('Список деталей'!Y149),"",('Список деталей'!Y149))</f>
        <v/>
      </c>
      <c r="N141" s="3" t="str">
        <f>IF(ISBLANK('Список деталей'!Z149),"",('Список деталей'!Z149))</f>
        <v/>
      </c>
      <c r="O141" s="3" t="str">
        <f>IF(ISBLANK('Список деталей'!AA149),"",('Список деталей'!AA149))</f>
        <v/>
      </c>
      <c r="P141" s="3" t="str">
        <f>IF(ISBLANK('Список деталей'!AB149),"",('Список деталей'!AB149))</f>
        <v/>
      </c>
      <c r="Q141" s="45">
        <f>VLOOKUP(IF(ISBLANK('Список деталей'!H149)=TRUE,7,'Список деталей'!H149),кромка,2,0)+VLOOKUP(IF(ISBLANK('Список деталей'!I149)=TRUE,7,'Список деталей'!I149),кромка,2,0)+'Список деталей'!C149</f>
        <v>0</v>
      </c>
      <c r="R141" s="45">
        <f>VLOOKUP(IF(ISBLANK('Список деталей'!F149)=TRUE,7,'Список деталей'!F149),кромка,2,0)+VLOOKUP(IF(ISBLANK('Список деталей'!G149)=TRUE,7,'Список деталей'!G149),кромка,2,0)+'Список деталей'!D149</f>
        <v>0</v>
      </c>
      <c r="S141" s="42">
        <f>IF('Список деталей'!H149="",0,1)+IF('Список деталей'!I149="",0,1)+'Список деталей'!C149</f>
        <v>0</v>
      </c>
      <c r="T141" s="42">
        <f>IF('Список деталей'!F149="",0,1)+IF('Список деталей'!G149="",0,1)+'Список деталей'!D149</f>
        <v>0</v>
      </c>
      <c r="U141" s="3" t="str">
        <f>IF(ISBLANK('Список деталей'!K149),"",'Список деталей'!K149)</f>
        <v/>
      </c>
      <c r="V141" s="3" t="str">
        <f>IF(AND('Список деталей'!C149&gt;849,'Список деталей'!D149&gt;849)=TRUE,1*'Список деталей'!E149,"")</f>
        <v/>
      </c>
    </row>
    <row r="142" spans="1:22" x14ac:dyDescent="0.45">
      <c r="A142" s="3">
        <f>IF(ISNUMBER('Список деталей'!A150), 'Список деталей'!A150, "")</f>
        <v>141</v>
      </c>
      <c r="B142" s="30" t="str">
        <f>IF(ISBLANK('Список деталей'!B150),"",'Список деталей'!B150)</f>
        <v/>
      </c>
      <c r="C142" s="3" t="str">
        <f>IF(ISNUMBER('Список деталей'!C150), $W$4,"")</f>
        <v/>
      </c>
      <c r="D142" s="3" t="str">
        <f>IF(ISNUMBER('Список деталей'!C150), 'Список деталей'!$I$4,"")</f>
        <v/>
      </c>
      <c r="E142" s="24" t="str">
        <f>IF(ISNUMBER('Список деталей'!E150), 'Список деталей'!E150, "")</f>
        <v/>
      </c>
      <c r="F142" s="24" t="str">
        <f>IF(ISNUMBER('Список деталей'!C150), 'Список деталей'!C150, "")</f>
        <v/>
      </c>
      <c r="G142" s="24" t="str">
        <f>IF(ISNUMBER('Список деталей'!D150), 'Список деталей'!D150, "")</f>
        <v/>
      </c>
      <c r="H142" s="3" t="str">
        <f t="shared" si="2"/>
        <v xml:space="preserve">    </v>
      </c>
      <c r="I142" s="3" t="str">
        <f>IF(ISBLANK('Список деталей'!F150),"",VLOOKUP('Список деталей'!F150,обозначениКромки,4,0))</f>
        <v/>
      </c>
      <c r="J142" s="25" t="str">
        <f>IF(ISBLANK('Список деталей'!G150),"",VLOOKUP('Список деталей'!G150,обозначениКромки,4,0))</f>
        <v/>
      </c>
      <c r="K142" s="25" t="str">
        <f>IF(ISBLANK('Список деталей'!H150),"",VLOOKUP('Список деталей'!H150,обозначениКромки,4,0))</f>
        <v/>
      </c>
      <c r="L142" s="25" t="str">
        <f>IF(ISBLANK('Список деталей'!I150),"",VLOOKUP('Список деталей'!I150,обозначениКромки,4,0))</f>
        <v/>
      </c>
      <c r="M142" s="24" t="str">
        <f>IF(ISBLANK('Список деталей'!Y150),"",('Список деталей'!Y150))</f>
        <v/>
      </c>
      <c r="N142" s="3" t="str">
        <f>IF(ISBLANK('Список деталей'!Z150),"",('Список деталей'!Z150))</f>
        <v/>
      </c>
      <c r="O142" s="3" t="str">
        <f>IF(ISBLANK('Список деталей'!AA150),"",('Список деталей'!AA150))</f>
        <v/>
      </c>
      <c r="P142" s="3" t="str">
        <f>IF(ISBLANK('Список деталей'!AB150),"",('Список деталей'!AB150))</f>
        <v/>
      </c>
      <c r="Q142" s="45">
        <f>VLOOKUP(IF(ISBLANK('Список деталей'!H150)=TRUE,7,'Список деталей'!H150),кромка,2,0)+VLOOKUP(IF(ISBLANK('Список деталей'!I150)=TRUE,7,'Список деталей'!I150),кромка,2,0)+'Список деталей'!C150</f>
        <v>0</v>
      </c>
      <c r="R142" s="45">
        <f>VLOOKUP(IF(ISBLANK('Список деталей'!F150)=TRUE,7,'Список деталей'!F150),кромка,2,0)+VLOOKUP(IF(ISBLANK('Список деталей'!G150)=TRUE,7,'Список деталей'!G150),кромка,2,0)+'Список деталей'!D150</f>
        <v>0</v>
      </c>
      <c r="S142" s="42">
        <f>IF('Список деталей'!H150="",0,1)+IF('Список деталей'!I150="",0,1)+'Список деталей'!C150</f>
        <v>0</v>
      </c>
      <c r="T142" s="42">
        <f>IF('Список деталей'!F150="",0,1)+IF('Список деталей'!G150="",0,1)+'Список деталей'!D150</f>
        <v>0</v>
      </c>
      <c r="U142" s="3" t="str">
        <f>IF(ISBLANK('Список деталей'!K150),"",'Список деталей'!K150)</f>
        <v/>
      </c>
      <c r="V142" s="3" t="str">
        <f>IF(AND('Список деталей'!C150&gt;849,'Список деталей'!D150&gt;849)=TRUE,1*'Список деталей'!E150,"")</f>
        <v/>
      </c>
    </row>
    <row r="143" spans="1:22" x14ac:dyDescent="0.45">
      <c r="A143" s="3">
        <f>IF(ISNUMBER('Список деталей'!A151), 'Список деталей'!A151, "")</f>
        <v>142</v>
      </c>
      <c r="B143" s="30" t="str">
        <f>IF(ISBLANK('Список деталей'!B151),"",'Список деталей'!B151)</f>
        <v/>
      </c>
      <c r="C143" s="3" t="str">
        <f>IF(ISNUMBER('Список деталей'!C151), $W$4,"")</f>
        <v/>
      </c>
      <c r="D143" s="3" t="str">
        <f>IF(ISNUMBER('Список деталей'!C151), 'Список деталей'!$I$4,"")</f>
        <v/>
      </c>
      <c r="E143" s="24" t="str">
        <f>IF(ISNUMBER('Список деталей'!E151), 'Список деталей'!E151, "")</f>
        <v/>
      </c>
      <c r="F143" s="24" t="str">
        <f>IF(ISNUMBER('Список деталей'!C151), 'Список деталей'!C151, "")</f>
        <v/>
      </c>
      <c r="G143" s="24" t="str">
        <f>IF(ISNUMBER('Список деталей'!D151), 'Список деталей'!D151, "")</f>
        <v/>
      </c>
      <c r="H143" s="3" t="str">
        <f t="shared" si="2"/>
        <v xml:space="preserve">    </v>
      </c>
      <c r="I143" s="3" t="str">
        <f>IF(ISBLANK('Список деталей'!F151),"",VLOOKUP('Список деталей'!F151,обозначениКромки,4,0))</f>
        <v/>
      </c>
      <c r="J143" s="25" t="str">
        <f>IF(ISBLANK('Список деталей'!G151),"",VLOOKUP('Список деталей'!G151,обозначениКромки,4,0))</f>
        <v/>
      </c>
      <c r="K143" s="25" t="str">
        <f>IF(ISBLANK('Список деталей'!H151),"",VLOOKUP('Список деталей'!H151,обозначениКромки,4,0))</f>
        <v/>
      </c>
      <c r="L143" s="25" t="str">
        <f>IF(ISBLANK('Список деталей'!I151),"",VLOOKUP('Список деталей'!I151,обозначениКромки,4,0))</f>
        <v/>
      </c>
      <c r="M143" s="24" t="str">
        <f>IF(ISBLANK('Список деталей'!Y151),"",('Список деталей'!Y151))</f>
        <v/>
      </c>
      <c r="N143" s="3" t="str">
        <f>IF(ISBLANK('Список деталей'!Z151),"",('Список деталей'!Z151))</f>
        <v/>
      </c>
      <c r="O143" s="3" t="str">
        <f>IF(ISBLANK('Список деталей'!AA151),"",('Список деталей'!AA151))</f>
        <v/>
      </c>
      <c r="P143" s="3" t="str">
        <f>IF(ISBLANK('Список деталей'!AB151),"",('Список деталей'!AB151))</f>
        <v/>
      </c>
      <c r="Q143" s="45">
        <f>VLOOKUP(IF(ISBLANK('Список деталей'!H151)=TRUE,7,'Список деталей'!H151),кромка,2,0)+VLOOKUP(IF(ISBLANK('Список деталей'!I151)=TRUE,7,'Список деталей'!I151),кромка,2,0)+'Список деталей'!C151</f>
        <v>0</v>
      </c>
      <c r="R143" s="45">
        <f>VLOOKUP(IF(ISBLANK('Список деталей'!F151)=TRUE,7,'Список деталей'!F151),кромка,2,0)+VLOOKUP(IF(ISBLANK('Список деталей'!G151)=TRUE,7,'Список деталей'!G151),кромка,2,0)+'Список деталей'!D151</f>
        <v>0</v>
      </c>
      <c r="S143" s="42">
        <f>IF('Список деталей'!H151="",0,1)+IF('Список деталей'!I151="",0,1)+'Список деталей'!C151</f>
        <v>0</v>
      </c>
      <c r="T143" s="42">
        <f>IF('Список деталей'!F151="",0,1)+IF('Список деталей'!G151="",0,1)+'Список деталей'!D151</f>
        <v>0</v>
      </c>
      <c r="U143" s="3" t="str">
        <f>IF(ISBLANK('Список деталей'!K151),"",'Список деталей'!K151)</f>
        <v/>
      </c>
      <c r="V143" s="3" t="str">
        <f>IF(AND('Список деталей'!C151&gt;849,'Список деталей'!D151&gt;849)=TRUE,1*'Список деталей'!E151,"")</f>
        <v/>
      </c>
    </row>
    <row r="144" spans="1:22" x14ac:dyDescent="0.45">
      <c r="A144" s="3">
        <f>IF(ISNUMBER('Список деталей'!A152), 'Список деталей'!A152, "")</f>
        <v>143</v>
      </c>
      <c r="B144" s="30" t="str">
        <f>IF(ISBLANK('Список деталей'!B152),"",'Список деталей'!B152)</f>
        <v/>
      </c>
      <c r="C144" s="3" t="str">
        <f>IF(ISNUMBER('Список деталей'!C152), $W$4,"")</f>
        <v/>
      </c>
      <c r="D144" s="3" t="str">
        <f>IF(ISNUMBER('Список деталей'!C152), 'Список деталей'!$I$4,"")</f>
        <v/>
      </c>
      <c r="E144" s="24" t="str">
        <f>IF(ISNUMBER('Список деталей'!E152), 'Список деталей'!E152, "")</f>
        <v/>
      </c>
      <c r="F144" s="24" t="str">
        <f>IF(ISNUMBER('Список деталей'!C152), 'Список деталей'!C152, "")</f>
        <v/>
      </c>
      <c r="G144" s="24" t="str">
        <f>IF(ISNUMBER('Список деталей'!D152), 'Список деталей'!D152, "")</f>
        <v/>
      </c>
      <c r="H144" s="3" t="str">
        <f t="shared" si="2"/>
        <v xml:space="preserve">    </v>
      </c>
      <c r="I144" s="3" t="str">
        <f>IF(ISBLANK('Список деталей'!F152),"",VLOOKUP('Список деталей'!F152,обозначениКромки,4,0))</f>
        <v/>
      </c>
      <c r="J144" s="25" t="str">
        <f>IF(ISBLANK('Список деталей'!G152),"",VLOOKUP('Список деталей'!G152,обозначениКромки,4,0))</f>
        <v/>
      </c>
      <c r="K144" s="25" t="str">
        <f>IF(ISBLANK('Список деталей'!H152),"",VLOOKUP('Список деталей'!H152,обозначениКромки,4,0))</f>
        <v/>
      </c>
      <c r="L144" s="25" t="str">
        <f>IF(ISBLANK('Список деталей'!I152),"",VLOOKUP('Список деталей'!I152,обозначениКромки,4,0))</f>
        <v/>
      </c>
      <c r="M144" s="24" t="str">
        <f>IF(ISBLANK('Список деталей'!Y152),"",('Список деталей'!Y152))</f>
        <v/>
      </c>
      <c r="N144" s="3" t="str">
        <f>IF(ISBLANK('Список деталей'!Z152),"",('Список деталей'!Z152))</f>
        <v/>
      </c>
      <c r="O144" s="3" t="str">
        <f>IF(ISBLANK('Список деталей'!AA152),"",('Список деталей'!AA152))</f>
        <v/>
      </c>
      <c r="P144" s="3" t="str">
        <f>IF(ISBLANK('Список деталей'!AB152),"",('Список деталей'!AB152))</f>
        <v/>
      </c>
      <c r="Q144" s="45">
        <f>VLOOKUP(IF(ISBLANK('Список деталей'!H152)=TRUE,7,'Список деталей'!H152),кромка,2,0)+VLOOKUP(IF(ISBLANK('Список деталей'!I152)=TRUE,7,'Список деталей'!I152),кромка,2,0)+'Список деталей'!C152</f>
        <v>0</v>
      </c>
      <c r="R144" s="45">
        <f>VLOOKUP(IF(ISBLANK('Список деталей'!F152)=TRUE,7,'Список деталей'!F152),кромка,2,0)+VLOOKUP(IF(ISBLANK('Список деталей'!G152)=TRUE,7,'Список деталей'!G152),кромка,2,0)+'Список деталей'!D152</f>
        <v>0</v>
      </c>
      <c r="S144" s="42">
        <f>IF('Список деталей'!H152="",0,1)+IF('Список деталей'!I152="",0,1)+'Список деталей'!C152</f>
        <v>0</v>
      </c>
      <c r="T144" s="42">
        <f>IF('Список деталей'!F152="",0,1)+IF('Список деталей'!G152="",0,1)+'Список деталей'!D152</f>
        <v>0</v>
      </c>
      <c r="U144" s="3" t="str">
        <f>IF(ISBLANK('Список деталей'!K152),"",'Список деталей'!K152)</f>
        <v/>
      </c>
      <c r="V144" s="3" t="str">
        <f>IF(AND('Список деталей'!C152&gt;849,'Список деталей'!D152&gt;849)=TRUE,1*'Список деталей'!E152,"")</f>
        <v/>
      </c>
    </row>
    <row r="145" spans="1:22" x14ac:dyDescent="0.45">
      <c r="A145" s="3">
        <f>IF(ISNUMBER('Список деталей'!A153), 'Список деталей'!A153, "")</f>
        <v>144</v>
      </c>
      <c r="B145" s="30" t="str">
        <f>IF(ISBLANK('Список деталей'!B153),"",'Список деталей'!B153)</f>
        <v/>
      </c>
      <c r="C145" s="3" t="str">
        <f>IF(ISNUMBER('Список деталей'!C153), $W$4,"")</f>
        <v/>
      </c>
      <c r="D145" s="3" t="str">
        <f>IF(ISNUMBER('Список деталей'!C153), 'Список деталей'!$I$4,"")</f>
        <v/>
      </c>
      <c r="E145" s="24" t="str">
        <f>IF(ISNUMBER('Список деталей'!E153), 'Список деталей'!E153, "")</f>
        <v/>
      </c>
      <c r="F145" s="24" t="str">
        <f>IF(ISNUMBER('Список деталей'!C153), 'Список деталей'!C153, "")</f>
        <v/>
      </c>
      <c r="G145" s="24" t="str">
        <f>IF(ISNUMBER('Список деталей'!D153), 'Список деталей'!D153, "")</f>
        <v/>
      </c>
      <c r="H145" s="3" t="str">
        <f t="shared" si="2"/>
        <v xml:space="preserve">    </v>
      </c>
      <c r="I145" s="3" t="str">
        <f>IF(ISBLANK('Список деталей'!F153),"",VLOOKUP('Список деталей'!F153,обозначениКромки,4,0))</f>
        <v/>
      </c>
      <c r="J145" s="25" t="str">
        <f>IF(ISBLANK('Список деталей'!G153),"",VLOOKUP('Список деталей'!G153,обозначениКромки,4,0))</f>
        <v/>
      </c>
      <c r="K145" s="25" t="str">
        <f>IF(ISBLANK('Список деталей'!H153),"",VLOOKUP('Список деталей'!H153,обозначениКромки,4,0))</f>
        <v/>
      </c>
      <c r="L145" s="25" t="str">
        <f>IF(ISBLANK('Список деталей'!I153),"",VLOOKUP('Список деталей'!I153,обозначениКромки,4,0))</f>
        <v/>
      </c>
      <c r="M145" s="24" t="str">
        <f>IF(ISBLANK('Список деталей'!Y153),"",('Список деталей'!Y153))</f>
        <v/>
      </c>
      <c r="N145" s="3" t="str">
        <f>IF(ISBLANK('Список деталей'!Z153),"",('Список деталей'!Z153))</f>
        <v/>
      </c>
      <c r="O145" s="3" t="str">
        <f>IF(ISBLANK('Список деталей'!AA153),"",('Список деталей'!AA153))</f>
        <v/>
      </c>
      <c r="P145" s="3" t="str">
        <f>IF(ISBLANK('Список деталей'!AB153),"",('Список деталей'!AB153))</f>
        <v/>
      </c>
      <c r="Q145" s="45">
        <f>VLOOKUP(IF(ISBLANK('Список деталей'!H153)=TRUE,7,'Список деталей'!H153),кромка,2,0)+VLOOKUP(IF(ISBLANK('Список деталей'!I153)=TRUE,7,'Список деталей'!I153),кромка,2,0)+'Список деталей'!C153</f>
        <v>0</v>
      </c>
      <c r="R145" s="45">
        <f>VLOOKUP(IF(ISBLANK('Список деталей'!F153)=TRUE,7,'Список деталей'!F153),кромка,2,0)+VLOOKUP(IF(ISBLANK('Список деталей'!G153)=TRUE,7,'Список деталей'!G153),кромка,2,0)+'Список деталей'!D153</f>
        <v>0</v>
      </c>
      <c r="S145" s="42">
        <f>IF('Список деталей'!H153="",0,1)+IF('Список деталей'!I153="",0,1)+'Список деталей'!C153</f>
        <v>0</v>
      </c>
      <c r="T145" s="42">
        <f>IF('Список деталей'!F153="",0,1)+IF('Список деталей'!G153="",0,1)+'Список деталей'!D153</f>
        <v>0</v>
      </c>
      <c r="U145" s="3" t="str">
        <f>IF(ISBLANK('Список деталей'!K153),"",'Список деталей'!K153)</f>
        <v/>
      </c>
      <c r="V145" s="3" t="str">
        <f>IF(AND('Список деталей'!C153&gt;849,'Список деталей'!D153&gt;849)=TRUE,1*'Список деталей'!E153,"")</f>
        <v/>
      </c>
    </row>
    <row r="146" spans="1:22" x14ac:dyDescent="0.45">
      <c r="A146" s="3">
        <f>IF(ISNUMBER('Список деталей'!A154), 'Список деталей'!A154, "")</f>
        <v>145</v>
      </c>
      <c r="B146" s="30" t="str">
        <f>IF(ISBLANK('Список деталей'!B154),"",'Список деталей'!B154)</f>
        <v/>
      </c>
      <c r="C146" s="3" t="str">
        <f>IF(ISNUMBER('Список деталей'!C154), $W$4,"")</f>
        <v/>
      </c>
      <c r="D146" s="3" t="str">
        <f>IF(ISNUMBER('Список деталей'!C154), 'Список деталей'!$I$4,"")</f>
        <v/>
      </c>
      <c r="E146" s="24" t="str">
        <f>IF(ISNUMBER('Список деталей'!E154), 'Список деталей'!E154, "")</f>
        <v/>
      </c>
      <c r="F146" s="24" t="str">
        <f>IF(ISNUMBER('Список деталей'!C154), 'Список деталей'!C154, "")</f>
        <v/>
      </c>
      <c r="G146" s="24" t="str">
        <f>IF(ISNUMBER('Список деталей'!D154), 'Список деталей'!D154, "")</f>
        <v/>
      </c>
      <c r="H146" s="3" t="str">
        <f t="shared" si="2"/>
        <v xml:space="preserve">    </v>
      </c>
      <c r="I146" s="3" t="str">
        <f>IF(ISBLANK('Список деталей'!F154),"",VLOOKUP('Список деталей'!F154,обозначениКромки,4,0))</f>
        <v/>
      </c>
      <c r="J146" s="25" t="str">
        <f>IF(ISBLANK('Список деталей'!G154),"",VLOOKUP('Список деталей'!G154,обозначениКромки,4,0))</f>
        <v/>
      </c>
      <c r="K146" s="25" t="str">
        <f>IF(ISBLANK('Список деталей'!H154),"",VLOOKUP('Список деталей'!H154,обозначениКромки,4,0))</f>
        <v/>
      </c>
      <c r="L146" s="25" t="str">
        <f>IF(ISBLANK('Список деталей'!I154),"",VLOOKUP('Список деталей'!I154,обозначениКромки,4,0))</f>
        <v/>
      </c>
      <c r="M146" s="24" t="str">
        <f>IF(ISBLANK('Список деталей'!Y154),"",('Список деталей'!Y154))</f>
        <v/>
      </c>
      <c r="N146" s="3" t="str">
        <f>IF(ISBLANK('Список деталей'!Z154),"",('Список деталей'!Z154))</f>
        <v/>
      </c>
      <c r="O146" s="3" t="str">
        <f>IF(ISBLANK('Список деталей'!AA154),"",('Список деталей'!AA154))</f>
        <v/>
      </c>
      <c r="P146" s="3" t="str">
        <f>IF(ISBLANK('Список деталей'!AB154),"",('Список деталей'!AB154))</f>
        <v/>
      </c>
      <c r="Q146" s="45">
        <f>VLOOKUP(IF(ISBLANK('Список деталей'!H154)=TRUE,7,'Список деталей'!H154),кромка,2,0)+VLOOKUP(IF(ISBLANK('Список деталей'!I154)=TRUE,7,'Список деталей'!I154),кромка,2,0)+'Список деталей'!C154</f>
        <v>0</v>
      </c>
      <c r="R146" s="45">
        <f>VLOOKUP(IF(ISBLANK('Список деталей'!F154)=TRUE,7,'Список деталей'!F154),кромка,2,0)+VLOOKUP(IF(ISBLANK('Список деталей'!G154)=TRUE,7,'Список деталей'!G154),кромка,2,0)+'Список деталей'!D154</f>
        <v>0</v>
      </c>
      <c r="S146" s="42">
        <f>IF('Список деталей'!H154="",0,1)+IF('Список деталей'!I154="",0,1)+'Список деталей'!C154</f>
        <v>0</v>
      </c>
      <c r="T146" s="42">
        <f>IF('Список деталей'!F154="",0,1)+IF('Список деталей'!G154="",0,1)+'Список деталей'!D154</f>
        <v>0</v>
      </c>
      <c r="U146" s="3" t="str">
        <f>IF(ISBLANK('Список деталей'!K154),"",'Список деталей'!K154)</f>
        <v/>
      </c>
      <c r="V146" s="3" t="str">
        <f>IF(AND('Список деталей'!C154&gt;849,'Список деталей'!D154&gt;849)=TRUE,1*'Список деталей'!E154,"")</f>
        <v/>
      </c>
    </row>
    <row r="147" spans="1:22" x14ac:dyDescent="0.45">
      <c r="A147" s="3">
        <f>IF(ISNUMBER('Список деталей'!A155), 'Список деталей'!A155, "")</f>
        <v>146</v>
      </c>
      <c r="B147" s="30" t="str">
        <f>IF(ISBLANK('Список деталей'!B155),"",'Список деталей'!B155)</f>
        <v/>
      </c>
      <c r="C147" s="3" t="str">
        <f>IF(ISNUMBER('Список деталей'!C155), $W$4,"")</f>
        <v/>
      </c>
      <c r="D147" s="3" t="str">
        <f>IF(ISNUMBER('Список деталей'!C155), 'Список деталей'!$I$4,"")</f>
        <v/>
      </c>
      <c r="E147" s="24" t="str">
        <f>IF(ISNUMBER('Список деталей'!E155), 'Список деталей'!E155, "")</f>
        <v/>
      </c>
      <c r="F147" s="24" t="str">
        <f>IF(ISNUMBER('Список деталей'!C155), 'Список деталей'!C155, "")</f>
        <v/>
      </c>
      <c r="G147" s="24" t="str">
        <f>IF(ISNUMBER('Список деталей'!D155), 'Список деталей'!D155, "")</f>
        <v/>
      </c>
      <c r="H147" s="3" t="str">
        <f t="shared" si="2"/>
        <v xml:space="preserve">    </v>
      </c>
      <c r="I147" s="3" t="str">
        <f>IF(ISBLANK('Список деталей'!F155),"",VLOOKUP('Список деталей'!F155,обозначениКромки,4,0))</f>
        <v/>
      </c>
      <c r="J147" s="25" t="str">
        <f>IF(ISBLANK('Список деталей'!G155),"",VLOOKUP('Список деталей'!G155,обозначениКромки,4,0))</f>
        <v/>
      </c>
      <c r="K147" s="25" t="str">
        <f>IF(ISBLANK('Список деталей'!H155),"",VLOOKUP('Список деталей'!H155,обозначениКромки,4,0))</f>
        <v/>
      </c>
      <c r="L147" s="25" t="str">
        <f>IF(ISBLANK('Список деталей'!I155),"",VLOOKUP('Список деталей'!I155,обозначениКромки,4,0))</f>
        <v/>
      </c>
      <c r="M147" s="24" t="str">
        <f>IF(ISBLANK('Список деталей'!Y155),"",('Список деталей'!Y155))</f>
        <v/>
      </c>
      <c r="N147" s="3" t="str">
        <f>IF(ISBLANK('Список деталей'!Z155),"",('Список деталей'!Z155))</f>
        <v/>
      </c>
      <c r="O147" s="3" t="str">
        <f>IF(ISBLANK('Список деталей'!AA155),"",('Список деталей'!AA155))</f>
        <v/>
      </c>
      <c r="P147" s="3" t="str">
        <f>IF(ISBLANK('Список деталей'!AB155),"",('Список деталей'!AB155))</f>
        <v/>
      </c>
      <c r="Q147" s="45">
        <f>VLOOKUP(IF(ISBLANK('Список деталей'!H155)=TRUE,7,'Список деталей'!H155),кромка,2,0)+VLOOKUP(IF(ISBLANK('Список деталей'!I155)=TRUE,7,'Список деталей'!I155),кромка,2,0)+'Список деталей'!C155</f>
        <v>0</v>
      </c>
      <c r="R147" s="45">
        <f>VLOOKUP(IF(ISBLANK('Список деталей'!F155)=TRUE,7,'Список деталей'!F155),кромка,2,0)+VLOOKUP(IF(ISBLANK('Список деталей'!G155)=TRUE,7,'Список деталей'!G155),кромка,2,0)+'Список деталей'!D155</f>
        <v>0</v>
      </c>
      <c r="S147" s="42">
        <f>IF('Список деталей'!H155="",0,1)+IF('Список деталей'!I155="",0,1)+'Список деталей'!C155</f>
        <v>0</v>
      </c>
      <c r="T147" s="42">
        <f>IF('Список деталей'!F155="",0,1)+IF('Список деталей'!G155="",0,1)+'Список деталей'!D155</f>
        <v>0</v>
      </c>
      <c r="U147" s="3" t="str">
        <f>IF(ISBLANK('Список деталей'!K155),"",'Список деталей'!K155)</f>
        <v/>
      </c>
      <c r="V147" s="3" t="str">
        <f>IF(AND('Список деталей'!C155&gt;849,'Список деталей'!D155&gt;849)=TRUE,1*'Список деталей'!E155,"")</f>
        <v/>
      </c>
    </row>
    <row r="148" spans="1:22" x14ac:dyDescent="0.45">
      <c r="A148" s="3">
        <f>IF(ISNUMBER('Список деталей'!A156), 'Список деталей'!A156, "")</f>
        <v>147</v>
      </c>
      <c r="B148" s="30" t="str">
        <f>IF(ISBLANK('Список деталей'!B156),"",'Список деталей'!B156)</f>
        <v/>
      </c>
      <c r="C148" s="3" t="str">
        <f>IF(ISNUMBER('Список деталей'!C156), $W$4,"")</f>
        <v/>
      </c>
      <c r="D148" s="3" t="str">
        <f>IF(ISNUMBER('Список деталей'!C156), 'Список деталей'!$I$4,"")</f>
        <v/>
      </c>
      <c r="E148" s="24" t="str">
        <f>IF(ISNUMBER('Список деталей'!E156), 'Список деталей'!E156, "")</f>
        <v/>
      </c>
      <c r="F148" s="24" t="str">
        <f>IF(ISNUMBER('Список деталей'!C156), 'Список деталей'!C156, "")</f>
        <v/>
      </c>
      <c r="G148" s="24" t="str">
        <f>IF(ISNUMBER('Список деталей'!D156), 'Список деталей'!D156, "")</f>
        <v/>
      </c>
      <c r="H148" s="3" t="str">
        <f t="shared" si="2"/>
        <v xml:space="preserve">    </v>
      </c>
      <c r="I148" s="3" t="str">
        <f>IF(ISBLANK('Список деталей'!F156),"",VLOOKUP('Список деталей'!F156,обозначениКромки,4,0))</f>
        <v/>
      </c>
      <c r="J148" s="25" t="str">
        <f>IF(ISBLANK('Список деталей'!G156),"",VLOOKUP('Список деталей'!G156,обозначениКромки,4,0))</f>
        <v/>
      </c>
      <c r="K148" s="25" t="str">
        <f>IF(ISBLANK('Список деталей'!H156),"",VLOOKUP('Список деталей'!H156,обозначениКромки,4,0))</f>
        <v/>
      </c>
      <c r="L148" s="25" t="str">
        <f>IF(ISBLANK('Список деталей'!I156),"",VLOOKUP('Список деталей'!I156,обозначениКромки,4,0))</f>
        <v/>
      </c>
      <c r="M148" s="24" t="str">
        <f>IF(ISBLANK('Список деталей'!Y156),"",('Список деталей'!Y156))</f>
        <v/>
      </c>
      <c r="N148" s="3" t="str">
        <f>IF(ISBLANK('Список деталей'!Z156),"",('Список деталей'!Z156))</f>
        <v/>
      </c>
      <c r="O148" s="3" t="str">
        <f>IF(ISBLANK('Список деталей'!AA156),"",('Список деталей'!AA156))</f>
        <v/>
      </c>
      <c r="P148" s="3" t="str">
        <f>IF(ISBLANK('Список деталей'!AB156),"",('Список деталей'!AB156))</f>
        <v/>
      </c>
      <c r="Q148" s="45">
        <f>VLOOKUP(IF(ISBLANK('Список деталей'!H156)=TRUE,7,'Список деталей'!H156),кромка,2,0)+VLOOKUP(IF(ISBLANK('Список деталей'!I156)=TRUE,7,'Список деталей'!I156),кромка,2,0)+'Список деталей'!C156</f>
        <v>0</v>
      </c>
      <c r="R148" s="45">
        <f>VLOOKUP(IF(ISBLANK('Список деталей'!F156)=TRUE,7,'Список деталей'!F156),кромка,2,0)+VLOOKUP(IF(ISBLANK('Список деталей'!G156)=TRUE,7,'Список деталей'!G156),кромка,2,0)+'Список деталей'!D156</f>
        <v>0</v>
      </c>
      <c r="S148" s="42">
        <f>IF('Список деталей'!H156="",0,1)+IF('Список деталей'!I156="",0,1)+'Список деталей'!C156</f>
        <v>0</v>
      </c>
      <c r="T148" s="42">
        <f>IF('Список деталей'!F156="",0,1)+IF('Список деталей'!G156="",0,1)+'Список деталей'!D156</f>
        <v>0</v>
      </c>
      <c r="U148" s="3" t="str">
        <f>IF(ISBLANK('Список деталей'!K156),"",'Список деталей'!K156)</f>
        <v/>
      </c>
      <c r="V148" s="3" t="str">
        <f>IF(AND('Список деталей'!C156&gt;849,'Список деталей'!D156&gt;849)=TRUE,1*'Список деталей'!E156,"")</f>
        <v/>
      </c>
    </row>
    <row r="149" spans="1:22" x14ac:dyDescent="0.45">
      <c r="A149" s="3">
        <f>IF(ISNUMBER('Список деталей'!A157), 'Список деталей'!A157, "")</f>
        <v>148</v>
      </c>
      <c r="B149" s="30" t="str">
        <f>IF(ISBLANK('Список деталей'!B157),"",'Список деталей'!B157)</f>
        <v/>
      </c>
      <c r="C149" s="3" t="str">
        <f>IF(ISNUMBER('Список деталей'!C157), $W$4,"")</f>
        <v/>
      </c>
      <c r="D149" s="3" t="str">
        <f>IF(ISNUMBER('Список деталей'!C157), 'Список деталей'!$I$4,"")</f>
        <v/>
      </c>
      <c r="E149" s="24" t="str">
        <f>IF(ISNUMBER('Список деталей'!E157), 'Список деталей'!E157, "")</f>
        <v/>
      </c>
      <c r="F149" s="24" t="str">
        <f>IF(ISNUMBER('Список деталей'!C157), 'Список деталей'!C157, "")</f>
        <v/>
      </c>
      <c r="G149" s="24" t="str">
        <f>IF(ISNUMBER('Список деталей'!D157), 'Список деталей'!D157, "")</f>
        <v/>
      </c>
      <c r="H149" s="3" t="str">
        <f t="shared" si="2"/>
        <v xml:space="preserve">    </v>
      </c>
      <c r="I149" s="3" t="str">
        <f>IF(ISBLANK('Список деталей'!F157),"",VLOOKUP('Список деталей'!F157,обозначениКромки,4,0))</f>
        <v/>
      </c>
      <c r="J149" s="25" t="str">
        <f>IF(ISBLANK('Список деталей'!G157),"",VLOOKUP('Список деталей'!G157,обозначениКромки,4,0))</f>
        <v/>
      </c>
      <c r="K149" s="25" t="str">
        <f>IF(ISBLANK('Список деталей'!H157),"",VLOOKUP('Список деталей'!H157,обозначениКромки,4,0))</f>
        <v/>
      </c>
      <c r="L149" s="25" t="str">
        <f>IF(ISBLANK('Список деталей'!I157),"",VLOOKUP('Список деталей'!I157,обозначениКромки,4,0))</f>
        <v/>
      </c>
      <c r="M149" s="24" t="str">
        <f>IF(ISBLANK('Список деталей'!Y157),"",('Список деталей'!Y157))</f>
        <v/>
      </c>
      <c r="N149" s="3" t="str">
        <f>IF(ISBLANK('Список деталей'!Z157),"",('Список деталей'!Z157))</f>
        <v/>
      </c>
      <c r="O149" s="3" t="str">
        <f>IF(ISBLANK('Список деталей'!AA157),"",('Список деталей'!AA157))</f>
        <v/>
      </c>
      <c r="P149" s="3" t="str">
        <f>IF(ISBLANK('Список деталей'!AB157),"",('Список деталей'!AB157))</f>
        <v/>
      </c>
      <c r="Q149" s="45">
        <f>VLOOKUP(IF(ISBLANK('Список деталей'!H157)=TRUE,7,'Список деталей'!H157),кромка,2,0)+VLOOKUP(IF(ISBLANK('Список деталей'!I157)=TRUE,7,'Список деталей'!I157),кромка,2,0)+'Список деталей'!C157</f>
        <v>0</v>
      </c>
      <c r="R149" s="45">
        <f>VLOOKUP(IF(ISBLANK('Список деталей'!F157)=TRUE,7,'Список деталей'!F157),кромка,2,0)+VLOOKUP(IF(ISBLANK('Список деталей'!G157)=TRUE,7,'Список деталей'!G157),кромка,2,0)+'Список деталей'!D157</f>
        <v>0</v>
      </c>
      <c r="S149" s="42">
        <f>IF('Список деталей'!H157="",0,1)+IF('Список деталей'!I157="",0,1)+'Список деталей'!C157</f>
        <v>0</v>
      </c>
      <c r="T149" s="42">
        <f>IF('Список деталей'!F157="",0,1)+IF('Список деталей'!G157="",0,1)+'Список деталей'!D157</f>
        <v>0</v>
      </c>
      <c r="U149" s="3" t="str">
        <f>IF(ISBLANK('Список деталей'!K157),"",'Список деталей'!K157)</f>
        <v/>
      </c>
      <c r="V149" s="3" t="str">
        <f>IF(AND('Список деталей'!C157&gt;849,'Список деталей'!D157&gt;849)=TRUE,1*'Список деталей'!E157,"")</f>
        <v/>
      </c>
    </row>
    <row r="150" spans="1:22" x14ac:dyDescent="0.45">
      <c r="A150" s="3">
        <f>IF(ISNUMBER('Список деталей'!A158), 'Список деталей'!A158, "")</f>
        <v>149</v>
      </c>
      <c r="B150" s="30" t="str">
        <f>IF(ISBLANK('Список деталей'!B158),"",'Список деталей'!B158)</f>
        <v/>
      </c>
      <c r="C150" s="3" t="str">
        <f>IF(ISNUMBER('Список деталей'!C158), $W$4,"")</f>
        <v/>
      </c>
      <c r="D150" s="3" t="str">
        <f>IF(ISNUMBER('Список деталей'!C158), 'Список деталей'!$I$4,"")</f>
        <v/>
      </c>
      <c r="E150" s="24" t="str">
        <f>IF(ISNUMBER('Список деталей'!E158), 'Список деталей'!E158, "")</f>
        <v/>
      </c>
      <c r="F150" s="24" t="str">
        <f>IF(ISNUMBER('Список деталей'!C158), 'Список деталей'!C158, "")</f>
        <v/>
      </c>
      <c r="G150" s="24" t="str">
        <f>IF(ISNUMBER('Список деталей'!D158), 'Список деталей'!D158, "")</f>
        <v/>
      </c>
      <c r="H150" s="3" t="str">
        <f t="shared" si="2"/>
        <v xml:space="preserve">    </v>
      </c>
      <c r="I150" s="3" t="str">
        <f>IF(ISBLANK('Список деталей'!F158),"",VLOOKUP('Список деталей'!F158,обозначениКромки,4,0))</f>
        <v/>
      </c>
      <c r="J150" s="25" t="str">
        <f>IF(ISBLANK('Список деталей'!G158),"",VLOOKUP('Список деталей'!G158,обозначениКромки,4,0))</f>
        <v/>
      </c>
      <c r="K150" s="25" t="str">
        <f>IF(ISBLANK('Список деталей'!H158),"",VLOOKUP('Список деталей'!H158,обозначениКромки,4,0))</f>
        <v/>
      </c>
      <c r="L150" s="25" t="str">
        <f>IF(ISBLANK('Список деталей'!I158),"",VLOOKUP('Список деталей'!I158,обозначениКромки,4,0))</f>
        <v/>
      </c>
      <c r="M150" s="24" t="str">
        <f>IF(ISBLANK('Список деталей'!Y158),"",('Список деталей'!Y158))</f>
        <v/>
      </c>
      <c r="N150" s="3" t="str">
        <f>IF(ISBLANK('Список деталей'!Z158),"",('Список деталей'!Z158))</f>
        <v/>
      </c>
      <c r="O150" s="3" t="str">
        <f>IF(ISBLANK('Список деталей'!AA158),"",('Список деталей'!AA158))</f>
        <v/>
      </c>
      <c r="P150" s="3" t="str">
        <f>IF(ISBLANK('Список деталей'!AB158),"",('Список деталей'!AB158))</f>
        <v/>
      </c>
      <c r="Q150" s="45">
        <f>VLOOKUP(IF(ISBLANK('Список деталей'!H158)=TRUE,7,'Список деталей'!H158),кромка,2,0)+VLOOKUP(IF(ISBLANK('Список деталей'!I158)=TRUE,7,'Список деталей'!I158),кромка,2,0)+'Список деталей'!C158</f>
        <v>0</v>
      </c>
      <c r="R150" s="45">
        <f>VLOOKUP(IF(ISBLANK('Список деталей'!F158)=TRUE,7,'Список деталей'!F158),кромка,2,0)+VLOOKUP(IF(ISBLANK('Список деталей'!G158)=TRUE,7,'Список деталей'!G158),кромка,2,0)+'Список деталей'!D158</f>
        <v>0</v>
      </c>
      <c r="S150" s="42">
        <f>IF('Список деталей'!H158="",0,1)+IF('Список деталей'!I158="",0,1)+'Список деталей'!C158</f>
        <v>0</v>
      </c>
      <c r="T150" s="42">
        <f>IF('Список деталей'!F158="",0,1)+IF('Список деталей'!G158="",0,1)+'Список деталей'!D158</f>
        <v>0</v>
      </c>
      <c r="U150" s="3" t="str">
        <f>IF(ISBLANK('Список деталей'!K158),"",'Список деталей'!K158)</f>
        <v/>
      </c>
      <c r="V150" s="3" t="str">
        <f>IF(AND('Список деталей'!C158&gt;849,'Список деталей'!D158&gt;849)=TRUE,1*'Список деталей'!E158,"")</f>
        <v/>
      </c>
    </row>
    <row r="151" spans="1:22" x14ac:dyDescent="0.45">
      <c r="A151" s="3">
        <f>IF(ISNUMBER('Список деталей'!A159), 'Список деталей'!A159, "")</f>
        <v>150</v>
      </c>
      <c r="B151" s="30" t="str">
        <f>IF(ISBLANK('Список деталей'!B159),"",'Список деталей'!B159)</f>
        <v/>
      </c>
      <c r="C151" s="3" t="str">
        <f>IF(ISNUMBER('Список деталей'!C159), $W$4,"")</f>
        <v/>
      </c>
      <c r="D151" s="3" t="str">
        <f>IF(ISNUMBER('Список деталей'!C159), 'Список деталей'!$I$4,"")</f>
        <v/>
      </c>
      <c r="E151" s="24" t="str">
        <f>IF(ISNUMBER('Список деталей'!E159), 'Список деталей'!E159, "")</f>
        <v/>
      </c>
      <c r="F151" s="24" t="str">
        <f>IF(ISNUMBER('Список деталей'!C159), 'Список деталей'!C159, "")</f>
        <v/>
      </c>
      <c r="G151" s="24" t="str">
        <f>IF(ISNUMBER('Список деталей'!D159), 'Список деталей'!D159, "")</f>
        <v/>
      </c>
      <c r="H151" s="3" t="str">
        <f t="shared" si="2"/>
        <v xml:space="preserve">    </v>
      </c>
      <c r="I151" s="3" t="str">
        <f>IF(ISBLANK('Список деталей'!F159),"",VLOOKUP('Список деталей'!F159,обозначениКромки,4,0))</f>
        <v/>
      </c>
      <c r="J151" s="25" t="str">
        <f>IF(ISBLANK('Список деталей'!G159),"",VLOOKUP('Список деталей'!G159,обозначениКромки,4,0))</f>
        <v/>
      </c>
      <c r="K151" s="25" t="str">
        <f>IF(ISBLANK('Список деталей'!H159),"",VLOOKUP('Список деталей'!H159,обозначениКромки,4,0))</f>
        <v/>
      </c>
      <c r="L151" s="25" t="str">
        <f>IF(ISBLANK('Список деталей'!I159),"",VLOOKUP('Список деталей'!I159,обозначениКромки,4,0))</f>
        <v/>
      </c>
      <c r="M151" s="24" t="str">
        <f>IF(ISBLANK('Список деталей'!Y159),"",('Список деталей'!Y159))</f>
        <v/>
      </c>
      <c r="N151" s="3" t="str">
        <f>IF(ISBLANK('Список деталей'!Z159),"",('Список деталей'!Z159))</f>
        <v/>
      </c>
      <c r="O151" s="3" t="str">
        <f>IF(ISBLANK('Список деталей'!AA159),"",('Список деталей'!AA159))</f>
        <v/>
      </c>
      <c r="P151" s="3" t="str">
        <f>IF(ISBLANK('Список деталей'!AB159),"",('Список деталей'!AB159))</f>
        <v/>
      </c>
      <c r="Q151" s="45">
        <f>VLOOKUP(IF(ISBLANK('Список деталей'!H159)=TRUE,7,'Список деталей'!H159),кромка,2,0)+VLOOKUP(IF(ISBLANK('Список деталей'!I159)=TRUE,7,'Список деталей'!I159),кромка,2,0)+'Список деталей'!C159</f>
        <v>0</v>
      </c>
      <c r="R151" s="45">
        <f>VLOOKUP(IF(ISBLANK('Список деталей'!F159)=TRUE,7,'Список деталей'!F159),кромка,2,0)+VLOOKUP(IF(ISBLANK('Список деталей'!G159)=TRUE,7,'Список деталей'!G159),кромка,2,0)+'Список деталей'!D159</f>
        <v>0</v>
      </c>
      <c r="S151" s="42">
        <f>IF('Список деталей'!H159="",0,1)+IF('Список деталей'!I159="",0,1)+'Список деталей'!C159</f>
        <v>0</v>
      </c>
      <c r="T151" s="42">
        <f>IF('Список деталей'!F159="",0,1)+IF('Список деталей'!G159="",0,1)+'Список деталей'!D159</f>
        <v>0</v>
      </c>
      <c r="U151" s="3" t="str">
        <f>IF(ISBLANK('Список деталей'!K159),"",'Список деталей'!K159)</f>
        <v/>
      </c>
      <c r="V151" s="3" t="str">
        <f>IF(AND('Список деталей'!C159&gt;849,'Список деталей'!D159&gt;849)=TRUE,1*'Список деталей'!E159,"")</f>
        <v/>
      </c>
    </row>
    <row r="152" spans="1:22" x14ac:dyDescent="0.45">
      <c r="A152" s="3">
        <f>IF(ISNUMBER('Список деталей'!A160), 'Список деталей'!A160, "")</f>
        <v>151</v>
      </c>
      <c r="B152" s="30" t="str">
        <f>IF(ISBLANK('Список деталей'!B160),"",'Список деталей'!B160)</f>
        <v/>
      </c>
      <c r="C152" s="3" t="str">
        <f>IF(ISNUMBER('Список деталей'!C160), $W$4,"")</f>
        <v/>
      </c>
      <c r="D152" s="3" t="str">
        <f>IF(ISNUMBER('Список деталей'!C160), 'Список деталей'!$I$4,"")</f>
        <v/>
      </c>
      <c r="E152" s="24" t="str">
        <f>IF(ISNUMBER('Список деталей'!E160), 'Список деталей'!E160, "")</f>
        <v/>
      </c>
      <c r="F152" s="24" t="str">
        <f>IF(ISNUMBER('Список деталей'!C160), 'Список деталей'!C160, "")</f>
        <v/>
      </c>
      <c r="G152" s="24" t="str">
        <f>IF(ISNUMBER('Список деталей'!D160), 'Список деталей'!D160, "")</f>
        <v/>
      </c>
      <c r="H152" s="3" t="str">
        <f t="shared" si="2"/>
        <v xml:space="preserve">    </v>
      </c>
      <c r="I152" s="3" t="str">
        <f>IF(ISBLANK('Список деталей'!F160),"",VLOOKUP('Список деталей'!F160,обозначениКромки,4,0))</f>
        <v/>
      </c>
      <c r="J152" s="25" t="str">
        <f>IF(ISBLANK('Список деталей'!G160),"",VLOOKUP('Список деталей'!G160,обозначениКромки,4,0))</f>
        <v/>
      </c>
      <c r="K152" s="25" t="str">
        <f>IF(ISBLANK('Список деталей'!H160),"",VLOOKUP('Список деталей'!H160,обозначениКромки,4,0))</f>
        <v/>
      </c>
      <c r="L152" s="25" t="str">
        <f>IF(ISBLANK('Список деталей'!I160),"",VLOOKUP('Список деталей'!I160,обозначениКромки,4,0))</f>
        <v/>
      </c>
      <c r="M152" s="24" t="str">
        <f>IF(ISBLANK('Список деталей'!Y160),"",('Список деталей'!Y160))</f>
        <v/>
      </c>
      <c r="N152" s="3" t="str">
        <f>IF(ISBLANK('Список деталей'!Z160),"",('Список деталей'!Z160))</f>
        <v/>
      </c>
      <c r="O152" s="3" t="str">
        <f>IF(ISBLANK('Список деталей'!AA160),"",('Список деталей'!AA160))</f>
        <v/>
      </c>
      <c r="P152" s="3" t="str">
        <f>IF(ISBLANK('Список деталей'!AB160),"",('Список деталей'!AB160))</f>
        <v/>
      </c>
      <c r="Q152" s="45">
        <f>VLOOKUP(IF(ISBLANK('Список деталей'!H160)=TRUE,7,'Список деталей'!H160),кромка,2,0)+VLOOKUP(IF(ISBLANK('Список деталей'!I160)=TRUE,7,'Список деталей'!I160),кромка,2,0)+'Список деталей'!C160</f>
        <v>0</v>
      </c>
      <c r="R152" s="45">
        <f>VLOOKUP(IF(ISBLANK('Список деталей'!F160)=TRUE,7,'Список деталей'!F160),кромка,2,0)+VLOOKUP(IF(ISBLANK('Список деталей'!G160)=TRUE,7,'Список деталей'!G160),кромка,2,0)+'Список деталей'!D160</f>
        <v>0</v>
      </c>
      <c r="S152" s="42">
        <f>IF('Список деталей'!H160="",0,1)+IF('Список деталей'!I160="",0,1)+'Список деталей'!C160</f>
        <v>0</v>
      </c>
      <c r="T152" s="42">
        <f>IF('Список деталей'!F160="",0,1)+IF('Список деталей'!G160="",0,1)+'Список деталей'!D160</f>
        <v>0</v>
      </c>
      <c r="U152" s="3" t="str">
        <f>IF(ISBLANK('Список деталей'!K160),"",'Список деталей'!K160)</f>
        <v/>
      </c>
      <c r="V152" s="3" t="str">
        <f>IF(AND('Список деталей'!C160&gt;849,'Список деталей'!D160&gt;849)=TRUE,1*'Список деталей'!E160,"")</f>
        <v/>
      </c>
    </row>
    <row r="153" spans="1:22" x14ac:dyDescent="0.45">
      <c r="A153" s="3">
        <f>IF(ISNUMBER('Список деталей'!A161), 'Список деталей'!A161, "")</f>
        <v>152</v>
      </c>
      <c r="B153" s="30" t="str">
        <f>IF(ISBLANK('Список деталей'!B161),"",'Список деталей'!B161)</f>
        <v/>
      </c>
      <c r="C153" s="3" t="str">
        <f>IF(ISNUMBER('Список деталей'!C161), $W$4,"")</f>
        <v/>
      </c>
      <c r="D153" s="3" t="str">
        <f>IF(ISNUMBER('Список деталей'!C161), 'Список деталей'!$I$4,"")</f>
        <v/>
      </c>
      <c r="E153" s="24" t="str">
        <f>IF(ISNUMBER('Список деталей'!E161), 'Список деталей'!E161, "")</f>
        <v/>
      </c>
      <c r="F153" s="24" t="str">
        <f>IF(ISNUMBER('Список деталей'!C161), 'Список деталей'!C161, "")</f>
        <v/>
      </c>
      <c r="G153" s="24" t="str">
        <f>IF(ISNUMBER('Список деталей'!D161), 'Список деталей'!D161, "")</f>
        <v/>
      </c>
      <c r="H153" s="3" t="str">
        <f t="shared" si="2"/>
        <v xml:space="preserve">    </v>
      </c>
      <c r="I153" s="3" t="str">
        <f>IF(ISBLANK('Список деталей'!F161),"",VLOOKUP('Список деталей'!F161,обозначениКромки,4,0))</f>
        <v/>
      </c>
      <c r="J153" s="25" t="str">
        <f>IF(ISBLANK('Список деталей'!G161),"",VLOOKUP('Список деталей'!G161,обозначениКромки,4,0))</f>
        <v/>
      </c>
      <c r="K153" s="25" t="str">
        <f>IF(ISBLANK('Список деталей'!H161),"",VLOOKUP('Список деталей'!H161,обозначениКромки,4,0))</f>
        <v/>
      </c>
      <c r="L153" s="25" t="str">
        <f>IF(ISBLANK('Список деталей'!I161),"",VLOOKUP('Список деталей'!I161,обозначениКромки,4,0))</f>
        <v/>
      </c>
      <c r="M153" s="24" t="str">
        <f>IF(ISBLANK('Список деталей'!Y161),"",('Список деталей'!Y161))</f>
        <v/>
      </c>
      <c r="N153" s="3" t="str">
        <f>IF(ISBLANK('Список деталей'!Z161),"",('Список деталей'!Z161))</f>
        <v/>
      </c>
      <c r="O153" s="3" t="str">
        <f>IF(ISBLANK('Список деталей'!AA161),"",('Список деталей'!AA161))</f>
        <v/>
      </c>
      <c r="P153" s="3" t="str">
        <f>IF(ISBLANK('Список деталей'!AB161),"",('Список деталей'!AB161))</f>
        <v/>
      </c>
      <c r="Q153" s="45">
        <f>VLOOKUP(IF(ISBLANK('Список деталей'!H161)=TRUE,7,'Список деталей'!H161),кромка,2,0)+VLOOKUP(IF(ISBLANK('Список деталей'!I161)=TRUE,7,'Список деталей'!I161),кромка,2,0)+'Список деталей'!C161</f>
        <v>0</v>
      </c>
      <c r="R153" s="45">
        <f>VLOOKUP(IF(ISBLANK('Список деталей'!F161)=TRUE,7,'Список деталей'!F161),кромка,2,0)+VLOOKUP(IF(ISBLANK('Список деталей'!G161)=TRUE,7,'Список деталей'!G161),кромка,2,0)+'Список деталей'!D161</f>
        <v>0</v>
      </c>
      <c r="S153" s="42">
        <f>IF('Список деталей'!H161="",0,1)+IF('Список деталей'!I161="",0,1)+'Список деталей'!C161</f>
        <v>0</v>
      </c>
      <c r="T153" s="42">
        <f>IF('Список деталей'!F161="",0,1)+IF('Список деталей'!G161="",0,1)+'Список деталей'!D161</f>
        <v>0</v>
      </c>
      <c r="U153" s="3" t="str">
        <f>IF(ISBLANK('Список деталей'!K161),"",'Список деталей'!K161)</f>
        <v/>
      </c>
      <c r="V153" s="3" t="str">
        <f>IF(AND('Список деталей'!C161&gt;849,'Список деталей'!D161&gt;849)=TRUE,1*'Список деталей'!E161,"")</f>
        <v/>
      </c>
    </row>
    <row r="154" spans="1:22" x14ac:dyDescent="0.45">
      <c r="A154" s="3">
        <f>IF(ISNUMBER('Список деталей'!A162), 'Список деталей'!A162, "")</f>
        <v>153</v>
      </c>
      <c r="B154" s="30" t="str">
        <f>IF(ISBLANK('Список деталей'!B162),"",'Список деталей'!B162)</f>
        <v/>
      </c>
      <c r="C154" s="3" t="str">
        <f>IF(ISNUMBER('Список деталей'!C162), $W$4,"")</f>
        <v/>
      </c>
      <c r="D154" s="3" t="str">
        <f>IF(ISNUMBER('Список деталей'!C162), 'Список деталей'!$I$4,"")</f>
        <v/>
      </c>
      <c r="E154" s="24" t="str">
        <f>IF(ISNUMBER('Список деталей'!E162), 'Список деталей'!E162, "")</f>
        <v/>
      </c>
      <c r="F154" s="24" t="str">
        <f>IF(ISNUMBER('Список деталей'!C162), 'Список деталей'!C162, "")</f>
        <v/>
      </c>
      <c r="G154" s="24" t="str">
        <f>IF(ISNUMBER('Список деталей'!D162), 'Список деталей'!D162, "")</f>
        <v/>
      </c>
      <c r="H154" s="3" t="str">
        <f t="shared" si="2"/>
        <v xml:space="preserve">    </v>
      </c>
      <c r="I154" s="3" t="str">
        <f>IF(ISBLANK('Список деталей'!F162),"",VLOOKUP('Список деталей'!F162,обозначениКромки,4,0))</f>
        <v/>
      </c>
      <c r="J154" s="25" t="str">
        <f>IF(ISBLANK('Список деталей'!G162),"",VLOOKUP('Список деталей'!G162,обозначениКромки,4,0))</f>
        <v/>
      </c>
      <c r="K154" s="25" t="str">
        <f>IF(ISBLANK('Список деталей'!H162),"",VLOOKUP('Список деталей'!H162,обозначениКромки,4,0))</f>
        <v/>
      </c>
      <c r="L154" s="25" t="str">
        <f>IF(ISBLANK('Список деталей'!I162),"",VLOOKUP('Список деталей'!I162,обозначениКромки,4,0))</f>
        <v/>
      </c>
      <c r="M154" s="24" t="str">
        <f>IF(ISBLANK('Список деталей'!Y162),"",('Список деталей'!Y162))</f>
        <v/>
      </c>
      <c r="N154" s="3" t="str">
        <f>IF(ISBLANK('Список деталей'!Z162),"",('Список деталей'!Z162))</f>
        <v/>
      </c>
      <c r="O154" s="3" t="str">
        <f>IF(ISBLANK('Список деталей'!AA162),"",('Список деталей'!AA162))</f>
        <v/>
      </c>
      <c r="P154" s="3" t="str">
        <f>IF(ISBLANK('Список деталей'!AB162),"",('Список деталей'!AB162))</f>
        <v/>
      </c>
      <c r="Q154" s="45">
        <f>VLOOKUP(IF(ISBLANK('Список деталей'!H162)=TRUE,7,'Список деталей'!H162),кромка,2,0)+VLOOKUP(IF(ISBLANK('Список деталей'!I162)=TRUE,7,'Список деталей'!I162),кромка,2,0)+'Список деталей'!C162</f>
        <v>0</v>
      </c>
      <c r="R154" s="45">
        <f>VLOOKUP(IF(ISBLANK('Список деталей'!F162)=TRUE,7,'Список деталей'!F162),кромка,2,0)+VLOOKUP(IF(ISBLANK('Список деталей'!G162)=TRUE,7,'Список деталей'!G162),кромка,2,0)+'Список деталей'!D162</f>
        <v>0</v>
      </c>
      <c r="S154" s="42">
        <f>IF('Список деталей'!H162="",0,1)+IF('Список деталей'!I162="",0,1)+'Список деталей'!C162</f>
        <v>0</v>
      </c>
      <c r="T154" s="42">
        <f>IF('Список деталей'!F162="",0,1)+IF('Список деталей'!G162="",0,1)+'Список деталей'!D162</f>
        <v>0</v>
      </c>
      <c r="U154" s="3" t="str">
        <f>IF(ISBLANK('Список деталей'!K162),"",'Список деталей'!K162)</f>
        <v/>
      </c>
      <c r="V154" s="3" t="str">
        <f>IF(AND('Список деталей'!C162&gt;849,'Список деталей'!D162&gt;849)=TRUE,1*'Список деталей'!E162,"")</f>
        <v/>
      </c>
    </row>
    <row r="155" spans="1:22" x14ac:dyDescent="0.45">
      <c r="A155" s="3">
        <f>IF(ISNUMBER('Список деталей'!A163), 'Список деталей'!A163, "")</f>
        <v>154</v>
      </c>
      <c r="B155" s="30" t="str">
        <f>IF(ISBLANK('Список деталей'!B163),"",'Список деталей'!B163)</f>
        <v/>
      </c>
      <c r="C155" s="3" t="str">
        <f>IF(ISNUMBER('Список деталей'!C163), $W$4,"")</f>
        <v/>
      </c>
      <c r="D155" s="3" t="str">
        <f>IF(ISNUMBER('Список деталей'!C163), 'Список деталей'!$I$4,"")</f>
        <v/>
      </c>
      <c r="E155" s="24" t="str">
        <f>IF(ISNUMBER('Список деталей'!E163), 'Список деталей'!E163, "")</f>
        <v/>
      </c>
      <c r="F155" s="24" t="str">
        <f>IF(ISNUMBER('Список деталей'!C163), 'Список деталей'!C163, "")</f>
        <v/>
      </c>
      <c r="G155" s="24" t="str">
        <f>IF(ISNUMBER('Список деталей'!D163), 'Список деталей'!D163, "")</f>
        <v/>
      </c>
      <c r="H155" s="3" t="str">
        <f t="shared" si="2"/>
        <v xml:space="preserve">    </v>
      </c>
      <c r="I155" s="3" t="str">
        <f>IF(ISBLANK('Список деталей'!F163),"",VLOOKUP('Список деталей'!F163,обозначениКромки,4,0))</f>
        <v/>
      </c>
      <c r="J155" s="25" t="str">
        <f>IF(ISBLANK('Список деталей'!G163),"",VLOOKUP('Список деталей'!G163,обозначениКромки,4,0))</f>
        <v/>
      </c>
      <c r="K155" s="25" t="str">
        <f>IF(ISBLANK('Список деталей'!H163),"",VLOOKUP('Список деталей'!H163,обозначениКромки,4,0))</f>
        <v/>
      </c>
      <c r="L155" s="25" t="str">
        <f>IF(ISBLANK('Список деталей'!I163),"",VLOOKUP('Список деталей'!I163,обозначениКромки,4,0))</f>
        <v/>
      </c>
      <c r="M155" s="24" t="str">
        <f>IF(ISBLANK('Список деталей'!Y163),"",('Список деталей'!Y163))</f>
        <v/>
      </c>
      <c r="N155" s="3" t="str">
        <f>IF(ISBLANK('Список деталей'!Z163),"",('Список деталей'!Z163))</f>
        <v/>
      </c>
      <c r="O155" s="3" t="str">
        <f>IF(ISBLANK('Список деталей'!AA163),"",('Список деталей'!AA163))</f>
        <v/>
      </c>
      <c r="P155" s="3" t="str">
        <f>IF(ISBLANK('Список деталей'!AB163),"",('Список деталей'!AB163))</f>
        <v/>
      </c>
      <c r="Q155" s="45">
        <f>VLOOKUP(IF(ISBLANK('Список деталей'!H163)=TRUE,7,'Список деталей'!H163),кромка,2,0)+VLOOKUP(IF(ISBLANK('Список деталей'!I163)=TRUE,7,'Список деталей'!I163),кромка,2,0)+'Список деталей'!C163</f>
        <v>0</v>
      </c>
      <c r="R155" s="45">
        <f>VLOOKUP(IF(ISBLANK('Список деталей'!F163)=TRUE,7,'Список деталей'!F163),кромка,2,0)+VLOOKUP(IF(ISBLANK('Список деталей'!G163)=TRUE,7,'Список деталей'!G163),кромка,2,0)+'Список деталей'!D163</f>
        <v>0</v>
      </c>
      <c r="S155" s="42">
        <f>IF('Список деталей'!H163="",0,1)+IF('Список деталей'!I163="",0,1)+'Список деталей'!C163</f>
        <v>0</v>
      </c>
      <c r="T155" s="42">
        <f>IF('Список деталей'!F163="",0,1)+IF('Список деталей'!G163="",0,1)+'Список деталей'!D163</f>
        <v>0</v>
      </c>
      <c r="U155" s="3" t="str">
        <f>IF(ISBLANK('Список деталей'!K163),"",'Список деталей'!K163)</f>
        <v/>
      </c>
      <c r="V155" s="3" t="str">
        <f>IF(AND('Список деталей'!C163&gt;849,'Список деталей'!D163&gt;849)=TRUE,1*'Список деталей'!E163,"")</f>
        <v/>
      </c>
    </row>
    <row r="156" spans="1:22" x14ac:dyDescent="0.45">
      <c r="A156" s="3">
        <f>IF(ISNUMBER('Список деталей'!A164), 'Список деталей'!A164, "")</f>
        <v>155</v>
      </c>
      <c r="B156" s="30" t="str">
        <f>IF(ISBLANK('Список деталей'!B164),"",'Список деталей'!B164)</f>
        <v/>
      </c>
      <c r="C156" s="3" t="str">
        <f>IF(ISNUMBER('Список деталей'!C164), $W$4,"")</f>
        <v/>
      </c>
      <c r="D156" s="3" t="str">
        <f>IF(ISNUMBER('Список деталей'!C164), 'Список деталей'!$I$4,"")</f>
        <v/>
      </c>
      <c r="E156" s="24" t="str">
        <f>IF(ISNUMBER('Список деталей'!E164), 'Список деталей'!E164, "")</f>
        <v/>
      </c>
      <c r="F156" s="24" t="str">
        <f>IF(ISNUMBER('Список деталей'!C164), 'Список деталей'!C164, "")</f>
        <v/>
      </c>
      <c r="G156" s="24" t="str">
        <f>IF(ISNUMBER('Список деталей'!D164), 'Список деталей'!D164, "")</f>
        <v/>
      </c>
      <c r="H156" s="3" t="str">
        <f t="shared" si="2"/>
        <v xml:space="preserve">    </v>
      </c>
      <c r="I156" s="3" t="str">
        <f>IF(ISBLANK('Список деталей'!F164),"",VLOOKUP('Список деталей'!F164,обозначениКромки,4,0))</f>
        <v/>
      </c>
      <c r="J156" s="25" t="str">
        <f>IF(ISBLANK('Список деталей'!G164),"",VLOOKUP('Список деталей'!G164,обозначениКромки,4,0))</f>
        <v/>
      </c>
      <c r="K156" s="25" t="str">
        <f>IF(ISBLANK('Список деталей'!H164),"",VLOOKUP('Список деталей'!H164,обозначениКромки,4,0))</f>
        <v/>
      </c>
      <c r="L156" s="25" t="str">
        <f>IF(ISBLANK('Список деталей'!I164),"",VLOOKUP('Список деталей'!I164,обозначениКромки,4,0))</f>
        <v/>
      </c>
      <c r="M156" s="24" t="str">
        <f>IF(ISBLANK('Список деталей'!Y164),"",('Список деталей'!Y164))</f>
        <v/>
      </c>
      <c r="N156" s="3" t="str">
        <f>IF(ISBLANK('Список деталей'!Z164),"",('Список деталей'!Z164))</f>
        <v/>
      </c>
      <c r="O156" s="3" t="str">
        <f>IF(ISBLANK('Список деталей'!AA164),"",('Список деталей'!AA164))</f>
        <v/>
      </c>
      <c r="P156" s="3" t="str">
        <f>IF(ISBLANK('Список деталей'!AB164),"",('Список деталей'!AB164))</f>
        <v/>
      </c>
      <c r="Q156" s="45">
        <f>VLOOKUP(IF(ISBLANK('Список деталей'!H164)=TRUE,7,'Список деталей'!H164),кромка,2,0)+VLOOKUP(IF(ISBLANK('Список деталей'!I164)=TRUE,7,'Список деталей'!I164),кромка,2,0)+'Список деталей'!C164</f>
        <v>0</v>
      </c>
      <c r="R156" s="45">
        <f>VLOOKUP(IF(ISBLANK('Список деталей'!F164)=TRUE,7,'Список деталей'!F164),кромка,2,0)+VLOOKUP(IF(ISBLANK('Список деталей'!G164)=TRUE,7,'Список деталей'!G164),кромка,2,0)+'Список деталей'!D164</f>
        <v>0</v>
      </c>
      <c r="S156" s="42">
        <f>IF('Список деталей'!H164="",0,1)+IF('Список деталей'!I164="",0,1)+'Список деталей'!C164</f>
        <v>0</v>
      </c>
      <c r="T156" s="42">
        <f>IF('Список деталей'!F164="",0,1)+IF('Список деталей'!G164="",0,1)+'Список деталей'!D164</f>
        <v>0</v>
      </c>
      <c r="U156" s="3" t="str">
        <f>IF(ISBLANK('Список деталей'!K164),"",'Список деталей'!K164)</f>
        <v/>
      </c>
      <c r="V156" s="3" t="str">
        <f>IF(AND('Список деталей'!C164&gt;849,'Список деталей'!D164&gt;849)=TRUE,1*'Список деталей'!E164,"")</f>
        <v/>
      </c>
    </row>
    <row r="157" spans="1:22" x14ac:dyDescent="0.45">
      <c r="A157" s="3">
        <f>IF(ISNUMBER('Список деталей'!A165), 'Список деталей'!A165, "")</f>
        <v>156</v>
      </c>
      <c r="B157" s="30" t="str">
        <f>IF(ISBLANK('Список деталей'!B165),"",'Список деталей'!B165)</f>
        <v/>
      </c>
      <c r="C157" s="3" t="str">
        <f>IF(ISNUMBER('Список деталей'!C165), $W$4,"")</f>
        <v/>
      </c>
      <c r="D157" s="3" t="str">
        <f>IF(ISNUMBER('Список деталей'!C165), 'Список деталей'!$I$4,"")</f>
        <v/>
      </c>
      <c r="E157" s="24" t="str">
        <f>IF(ISNUMBER('Список деталей'!E165), 'Список деталей'!E165, "")</f>
        <v/>
      </c>
      <c r="F157" s="24" t="str">
        <f>IF(ISNUMBER('Список деталей'!C165), 'Список деталей'!C165, "")</f>
        <v/>
      </c>
      <c r="G157" s="24" t="str">
        <f>IF(ISNUMBER('Список деталей'!D165), 'Список деталей'!D165, "")</f>
        <v/>
      </c>
      <c r="H157" s="3" t="str">
        <f t="shared" si="2"/>
        <v xml:space="preserve">    </v>
      </c>
      <c r="I157" s="3" t="str">
        <f>IF(ISBLANK('Список деталей'!F165),"",VLOOKUP('Список деталей'!F165,обозначениКромки,4,0))</f>
        <v/>
      </c>
      <c r="J157" s="25" t="str">
        <f>IF(ISBLANK('Список деталей'!G165),"",VLOOKUP('Список деталей'!G165,обозначениКромки,4,0))</f>
        <v/>
      </c>
      <c r="K157" s="25" t="str">
        <f>IF(ISBLANK('Список деталей'!H165),"",VLOOKUP('Список деталей'!H165,обозначениКромки,4,0))</f>
        <v/>
      </c>
      <c r="L157" s="25" t="str">
        <f>IF(ISBLANK('Список деталей'!I165),"",VLOOKUP('Список деталей'!I165,обозначениКромки,4,0))</f>
        <v/>
      </c>
      <c r="M157" s="24" t="str">
        <f>IF(ISBLANK('Список деталей'!Y165),"",('Список деталей'!Y165))</f>
        <v/>
      </c>
      <c r="N157" s="3" t="str">
        <f>IF(ISBLANK('Список деталей'!Z165),"",('Список деталей'!Z165))</f>
        <v/>
      </c>
      <c r="O157" s="3" t="str">
        <f>IF(ISBLANK('Список деталей'!AA165),"",('Список деталей'!AA165))</f>
        <v/>
      </c>
      <c r="P157" s="3" t="str">
        <f>IF(ISBLANK('Список деталей'!AB165),"",('Список деталей'!AB165))</f>
        <v/>
      </c>
      <c r="Q157" s="45">
        <f>VLOOKUP(IF(ISBLANK('Список деталей'!H165)=TRUE,7,'Список деталей'!H165),кромка,2,0)+VLOOKUP(IF(ISBLANK('Список деталей'!I165)=TRUE,7,'Список деталей'!I165),кромка,2,0)+'Список деталей'!C165</f>
        <v>0</v>
      </c>
      <c r="R157" s="45">
        <f>VLOOKUP(IF(ISBLANK('Список деталей'!F165)=TRUE,7,'Список деталей'!F165),кромка,2,0)+VLOOKUP(IF(ISBLANK('Список деталей'!G165)=TRUE,7,'Список деталей'!G165),кромка,2,0)+'Список деталей'!D165</f>
        <v>0</v>
      </c>
      <c r="S157" s="42">
        <f>IF('Список деталей'!H165="",0,1)+IF('Список деталей'!I165="",0,1)+'Список деталей'!C165</f>
        <v>0</v>
      </c>
      <c r="T157" s="42">
        <f>IF('Список деталей'!F165="",0,1)+IF('Список деталей'!G165="",0,1)+'Список деталей'!D165</f>
        <v>0</v>
      </c>
      <c r="U157" s="3" t="str">
        <f>IF(ISBLANK('Список деталей'!K165),"",'Список деталей'!K165)</f>
        <v/>
      </c>
      <c r="V157" s="3" t="str">
        <f>IF(AND('Список деталей'!C165&gt;849,'Список деталей'!D165&gt;849)=TRUE,1*'Список деталей'!E165,"")</f>
        <v/>
      </c>
    </row>
    <row r="158" spans="1:22" x14ac:dyDescent="0.45">
      <c r="A158" s="3">
        <f>IF(ISNUMBER('Список деталей'!A166), 'Список деталей'!A166, "")</f>
        <v>157</v>
      </c>
      <c r="B158" s="30" t="str">
        <f>IF(ISBLANK('Список деталей'!B166),"",'Список деталей'!B166)</f>
        <v/>
      </c>
      <c r="C158" s="3" t="str">
        <f>IF(ISNUMBER('Список деталей'!C166), $W$4,"")</f>
        <v/>
      </c>
      <c r="D158" s="3" t="str">
        <f>IF(ISNUMBER('Список деталей'!C166), 'Список деталей'!$I$4,"")</f>
        <v/>
      </c>
      <c r="E158" s="24" t="str">
        <f>IF(ISNUMBER('Список деталей'!E166), 'Список деталей'!E166, "")</f>
        <v/>
      </c>
      <c r="F158" s="24" t="str">
        <f>IF(ISNUMBER('Список деталей'!C166), 'Список деталей'!C166, "")</f>
        <v/>
      </c>
      <c r="G158" s="24" t="str">
        <f>IF(ISNUMBER('Список деталей'!D166), 'Список деталей'!D166, "")</f>
        <v/>
      </c>
      <c r="H158" s="3" t="str">
        <f t="shared" si="2"/>
        <v xml:space="preserve">    </v>
      </c>
      <c r="I158" s="3" t="str">
        <f>IF(ISBLANK('Список деталей'!F166),"",VLOOKUP('Список деталей'!F166,обозначениКромки,4,0))</f>
        <v/>
      </c>
      <c r="J158" s="25" t="str">
        <f>IF(ISBLANK('Список деталей'!G166),"",VLOOKUP('Список деталей'!G166,обозначениКромки,4,0))</f>
        <v/>
      </c>
      <c r="K158" s="25" t="str">
        <f>IF(ISBLANK('Список деталей'!H166),"",VLOOKUP('Список деталей'!H166,обозначениКромки,4,0))</f>
        <v/>
      </c>
      <c r="L158" s="25" t="str">
        <f>IF(ISBLANK('Список деталей'!I166),"",VLOOKUP('Список деталей'!I166,обозначениКромки,4,0))</f>
        <v/>
      </c>
      <c r="M158" s="24" t="str">
        <f>IF(ISBLANK('Список деталей'!Y166),"",('Список деталей'!Y166))</f>
        <v/>
      </c>
      <c r="N158" s="3" t="str">
        <f>IF(ISBLANK('Список деталей'!Z166),"",('Список деталей'!Z166))</f>
        <v/>
      </c>
      <c r="O158" s="3" t="str">
        <f>IF(ISBLANK('Список деталей'!AA166),"",('Список деталей'!AA166))</f>
        <v/>
      </c>
      <c r="P158" s="3" t="str">
        <f>IF(ISBLANK('Список деталей'!AB166),"",('Список деталей'!AB166))</f>
        <v/>
      </c>
      <c r="Q158" s="45">
        <f>VLOOKUP(IF(ISBLANK('Список деталей'!H166)=TRUE,7,'Список деталей'!H166),кромка,2,0)+VLOOKUP(IF(ISBLANK('Список деталей'!I166)=TRUE,7,'Список деталей'!I166),кромка,2,0)+'Список деталей'!C166</f>
        <v>0</v>
      </c>
      <c r="R158" s="45">
        <f>VLOOKUP(IF(ISBLANK('Список деталей'!F166)=TRUE,7,'Список деталей'!F166),кромка,2,0)+VLOOKUP(IF(ISBLANK('Список деталей'!G166)=TRUE,7,'Список деталей'!G166),кромка,2,0)+'Список деталей'!D166</f>
        <v>0</v>
      </c>
      <c r="S158" s="42">
        <f>IF('Список деталей'!H166="",0,1)+IF('Список деталей'!I166="",0,1)+'Список деталей'!C166</f>
        <v>0</v>
      </c>
      <c r="T158" s="42">
        <f>IF('Список деталей'!F166="",0,1)+IF('Список деталей'!G166="",0,1)+'Список деталей'!D166</f>
        <v>0</v>
      </c>
      <c r="U158" s="3" t="str">
        <f>IF(ISBLANK('Список деталей'!K166),"",'Список деталей'!K166)</f>
        <v/>
      </c>
      <c r="V158" s="3" t="str">
        <f>IF(AND('Список деталей'!C166&gt;849,'Список деталей'!D166&gt;849)=TRUE,1*'Список деталей'!E166,"")</f>
        <v/>
      </c>
    </row>
    <row r="159" spans="1:22" x14ac:dyDescent="0.45">
      <c r="A159" s="3">
        <f>IF(ISNUMBER('Список деталей'!A167), 'Список деталей'!A167, "")</f>
        <v>158</v>
      </c>
      <c r="B159" s="30" t="str">
        <f>IF(ISBLANK('Список деталей'!B167),"",'Список деталей'!B167)</f>
        <v/>
      </c>
      <c r="C159" s="3" t="str">
        <f>IF(ISNUMBER('Список деталей'!C167), $W$4,"")</f>
        <v/>
      </c>
      <c r="D159" s="3" t="str">
        <f>IF(ISNUMBER('Список деталей'!C167), 'Список деталей'!$I$4,"")</f>
        <v/>
      </c>
      <c r="E159" s="24" t="str">
        <f>IF(ISNUMBER('Список деталей'!E167), 'Список деталей'!E167, "")</f>
        <v/>
      </c>
      <c r="F159" s="24" t="str">
        <f>IF(ISNUMBER('Список деталей'!C167), 'Список деталей'!C167, "")</f>
        <v/>
      </c>
      <c r="G159" s="24" t="str">
        <f>IF(ISNUMBER('Список деталей'!D167), 'Список деталей'!D167, "")</f>
        <v/>
      </c>
      <c r="H159" s="3" t="str">
        <f t="shared" si="2"/>
        <v xml:space="preserve">    </v>
      </c>
      <c r="I159" s="3" t="str">
        <f>IF(ISBLANK('Список деталей'!F167),"",VLOOKUP('Список деталей'!F167,обозначениКромки,4,0))</f>
        <v/>
      </c>
      <c r="J159" s="25" t="str">
        <f>IF(ISBLANK('Список деталей'!G167),"",VLOOKUP('Список деталей'!G167,обозначениКромки,4,0))</f>
        <v/>
      </c>
      <c r="K159" s="25" t="str">
        <f>IF(ISBLANK('Список деталей'!H167),"",VLOOKUP('Список деталей'!H167,обозначениКромки,4,0))</f>
        <v/>
      </c>
      <c r="L159" s="25" t="str">
        <f>IF(ISBLANK('Список деталей'!I167),"",VLOOKUP('Список деталей'!I167,обозначениКромки,4,0))</f>
        <v/>
      </c>
      <c r="M159" s="24" t="str">
        <f>IF(ISBLANK('Список деталей'!Y167),"",('Список деталей'!Y167))</f>
        <v/>
      </c>
      <c r="N159" s="3" t="str">
        <f>IF(ISBLANK('Список деталей'!Z167),"",('Список деталей'!Z167))</f>
        <v/>
      </c>
      <c r="O159" s="3" t="str">
        <f>IF(ISBLANK('Список деталей'!AA167),"",('Список деталей'!AA167))</f>
        <v/>
      </c>
      <c r="P159" s="3" t="str">
        <f>IF(ISBLANK('Список деталей'!AB167),"",('Список деталей'!AB167))</f>
        <v/>
      </c>
      <c r="Q159" s="45">
        <f>VLOOKUP(IF(ISBLANK('Список деталей'!H167)=TRUE,7,'Список деталей'!H167),кромка,2,0)+VLOOKUP(IF(ISBLANK('Список деталей'!I167)=TRUE,7,'Список деталей'!I167),кромка,2,0)+'Список деталей'!C167</f>
        <v>0</v>
      </c>
      <c r="R159" s="45">
        <f>VLOOKUP(IF(ISBLANK('Список деталей'!F167)=TRUE,7,'Список деталей'!F167),кромка,2,0)+VLOOKUP(IF(ISBLANK('Список деталей'!G167)=TRUE,7,'Список деталей'!G167),кромка,2,0)+'Список деталей'!D167</f>
        <v>0</v>
      </c>
      <c r="S159" s="42">
        <f>IF('Список деталей'!H167="",0,1)+IF('Список деталей'!I167="",0,1)+'Список деталей'!C167</f>
        <v>0</v>
      </c>
      <c r="T159" s="42">
        <f>IF('Список деталей'!F167="",0,1)+IF('Список деталей'!G167="",0,1)+'Список деталей'!D167</f>
        <v>0</v>
      </c>
      <c r="U159" s="3" t="str">
        <f>IF(ISBLANK('Список деталей'!K167),"",'Список деталей'!K167)</f>
        <v/>
      </c>
      <c r="V159" s="3" t="str">
        <f>IF(AND('Список деталей'!C167&gt;849,'Список деталей'!D167&gt;849)=TRUE,1*'Список деталей'!E167,"")</f>
        <v/>
      </c>
    </row>
    <row r="160" spans="1:22" x14ac:dyDescent="0.45">
      <c r="A160" s="3">
        <f>IF(ISNUMBER('Список деталей'!A168), 'Список деталей'!A168, "")</f>
        <v>159</v>
      </c>
      <c r="B160" s="30" t="str">
        <f>IF(ISBLANK('Список деталей'!B168),"",'Список деталей'!B168)</f>
        <v/>
      </c>
      <c r="C160" s="3" t="str">
        <f>IF(ISNUMBER('Список деталей'!C168), $W$4,"")</f>
        <v/>
      </c>
      <c r="D160" s="3" t="str">
        <f>IF(ISNUMBER('Список деталей'!C168), 'Список деталей'!$I$4,"")</f>
        <v/>
      </c>
      <c r="E160" s="24" t="str">
        <f>IF(ISNUMBER('Список деталей'!E168), 'Список деталей'!E168, "")</f>
        <v/>
      </c>
      <c r="F160" s="24" t="str">
        <f>IF(ISNUMBER('Список деталей'!C168), 'Список деталей'!C168, "")</f>
        <v/>
      </c>
      <c r="G160" s="24" t="str">
        <f>IF(ISNUMBER('Список деталей'!D168), 'Список деталей'!D168, "")</f>
        <v/>
      </c>
      <c r="H160" s="3" t="str">
        <f t="shared" si="2"/>
        <v xml:space="preserve">    </v>
      </c>
      <c r="I160" s="3" t="str">
        <f>IF(ISBLANK('Список деталей'!F168),"",VLOOKUP('Список деталей'!F168,обозначениКромки,4,0))</f>
        <v/>
      </c>
      <c r="J160" s="25" t="str">
        <f>IF(ISBLANK('Список деталей'!G168),"",VLOOKUP('Список деталей'!G168,обозначениКромки,4,0))</f>
        <v/>
      </c>
      <c r="K160" s="25" t="str">
        <f>IF(ISBLANK('Список деталей'!H168),"",VLOOKUP('Список деталей'!H168,обозначениКромки,4,0))</f>
        <v/>
      </c>
      <c r="L160" s="25" t="str">
        <f>IF(ISBLANK('Список деталей'!I168),"",VLOOKUP('Список деталей'!I168,обозначениКромки,4,0))</f>
        <v/>
      </c>
      <c r="M160" s="24" t="str">
        <f>IF(ISBLANK('Список деталей'!Y168),"",('Список деталей'!Y168))</f>
        <v/>
      </c>
      <c r="N160" s="3" t="str">
        <f>IF(ISBLANK('Список деталей'!Z168),"",('Список деталей'!Z168))</f>
        <v/>
      </c>
      <c r="O160" s="3" t="str">
        <f>IF(ISBLANK('Список деталей'!AA168),"",('Список деталей'!AA168))</f>
        <v/>
      </c>
      <c r="P160" s="3" t="str">
        <f>IF(ISBLANK('Список деталей'!AB168),"",('Список деталей'!AB168))</f>
        <v/>
      </c>
      <c r="Q160" s="45">
        <f>VLOOKUP(IF(ISBLANK('Список деталей'!H168)=TRUE,7,'Список деталей'!H168),кромка,2,0)+VLOOKUP(IF(ISBLANK('Список деталей'!I168)=TRUE,7,'Список деталей'!I168),кромка,2,0)+'Список деталей'!C168</f>
        <v>0</v>
      </c>
      <c r="R160" s="45">
        <f>VLOOKUP(IF(ISBLANK('Список деталей'!F168)=TRUE,7,'Список деталей'!F168),кромка,2,0)+VLOOKUP(IF(ISBLANK('Список деталей'!G168)=TRUE,7,'Список деталей'!G168),кромка,2,0)+'Список деталей'!D168</f>
        <v>0</v>
      </c>
      <c r="S160" s="42">
        <f>IF('Список деталей'!H168="",0,1)+IF('Список деталей'!I168="",0,1)+'Список деталей'!C168</f>
        <v>0</v>
      </c>
      <c r="T160" s="42">
        <f>IF('Список деталей'!F168="",0,1)+IF('Список деталей'!G168="",0,1)+'Список деталей'!D168</f>
        <v>0</v>
      </c>
      <c r="U160" s="3" t="str">
        <f>IF(ISBLANK('Список деталей'!K168),"",'Список деталей'!K168)</f>
        <v/>
      </c>
      <c r="V160" s="3" t="str">
        <f>IF(AND('Список деталей'!C168&gt;849,'Список деталей'!D168&gt;849)=TRUE,1*'Список деталей'!E168,"")</f>
        <v/>
      </c>
    </row>
    <row r="161" spans="1:22" x14ac:dyDescent="0.45">
      <c r="A161" s="3">
        <f>IF(ISNUMBER('Список деталей'!A169), 'Список деталей'!A169, "")</f>
        <v>160</v>
      </c>
      <c r="B161" s="30" t="str">
        <f>IF(ISBLANK('Список деталей'!B169),"",'Список деталей'!B169)</f>
        <v/>
      </c>
      <c r="C161" s="3" t="str">
        <f>IF(ISNUMBER('Список деталей'!C169), $W$4,"")</f>
        <v/>
      </c>
      <c r="D161" s="3" t="str">
        <f>IF(ISNUMBER('Список деталей'!C169), 'Список деталей'!$I$4,"")</f>
        <v/>
      </c>
      <c r="E161" s="24" t="str">
        <f>IF(ISNUMBER('Список деталей'!E169), 'Список деталей'!E169, "")</f>
        <v/>
      </c>
      <c r="F161" s="24" t="str">
        <f>IF(ISNUMBER('Список деталей'!C169), 'Список деталей'!C169, "")</f>
        <v/>
      </c>
      <c r="G161" s="24" t="str">
        <f>IF(ISNUMBER('Список деталей'!D169), 'Список деталей'!D169, "")</f>
        <v/>
      </c>
      <c r="H161" s="3" t="str">
        <f t="shared" si="2"/>
        <v xml:space="preserve">    </v>
      </c>
      <c r="I161" s="3" t="str">
        <f>IF(ISBLANK('Список деталей'!F169),"",VLOOKUP('Список деталей'!F169,обозначениКромки,4,0))</f>
        <v/>
      </c>
      <c r="J161" s="25" t="str">
        <f>IF(ISBLANK('Список деталей'!G169),"",VLOOKUP('Список деталей'!G169,обозначениКромки,4,0))</f>
        <v/>
      </c>
      <c r="K161" s="25" t="str">
        <f>IF(ISBLANK('Список деталей'!H169),"",VLOOKUP('Список деталей'!H169,обозначениКромки,4,0))</f>
        <v/>
      </c>
      <c r="L161" s="25" t="str">
        <f>IF(ISBLANK('Список деталей'!I169),"",VLOOKUP('Список деталей'!I169,обозначениКромки,4,0))</f>
        <v/>
      </c>
      <c r="M161" s="24" t="str">
        <f>IF(ISBLANK('Список деталей'!Y169),"",('Список деталей'!Y169))</f>
        <v/>
      </c>
      <c r="N161" s="3" t="str">
        <f>IF(ISBLANK('Список деталей'!Z169),"",('Список деталей'!Z169))</f>
        <v/>
      </c>
      <c r="O161" s="3" t="str">
        <f>IF(ISBLANK('Список деталей'!AA169),"",('Список деталей'!AA169))</f>
        <v/>
      </c>
      <c r="P161" s="3" t="str">
        <f>IF(ISBLANK('Список деталей'!AB169),"",('Список деталей'!AB169))</f>
        <v/>
      </c>
      <c r="Q161" s="45">
        <f>VLOOKUP(IF(ISBLANK('Список деталей'!H169)=TRUE,7,'Список деталей'!H169),кромка,2,0)+VLOOKUP(IF(ISBLANK('Список деталей'!I169)=TRUE,7,'Список деталей'!I169),кромка,2,0)+'Список деталей'!C169</f>
        <v>0</v>
      </c>
      <c r="R161" s="45">
        <f>VLOOKUP(IF(ISBLANK('Список деталей'!F169)=TRUE,7,'Список деталей'!F169),кромка,2,0)+VLOOKUP(IF(ISBLANK('Список деталей'!G169)=TRUE,7,'Список деталей'!G169),кромка,2,0)+'Список деталей'!D169</f>
        <v>0</v>
      </c>
      <c r="S161" s="42">
        <f>IF('Список деталей'!H169="",0,1)+IF('Список деталей'!I169="",0,1)+'Список деталей'!C169</f>
        <v>0</v>
      </c>
      <c r="T161" s="42">
        <f>IF('Список деталей'!F169="",0,1)+IF('Список деталей'!G169="",0,1)+'Список деталей'!D169</f>
        <v>0</v>
      </c>
      <c r="U161" s="3" t="str">
        <f>IF(ISBLANK('Список деталей'!K169),"",'Список деталей'!K169)</f>
        <v/>
      </c>
      <c r="V161" s="3" t="str">
        <f>IF(AND('Список деталей'!C169&gt;849,'Список деталей'!D169&gt;849)=TRUE,1*'Список деталей'!E169,"")</f>
        <v/>
      </c>
    </row>
    <row r="162" spans="1:22" x14ac:dyDescent="0.45">
      <c r="A162" s="3">
        <f>IF(ISNUMBER('Список деталей'!A170), 'Список деталей'!A170, "")</f>
        <v>161</v>
      </c>
      <c r="B162" s="30" t="str">
        <f>IF(ISBLANK('Список деталей'!B170),"",'Список деталей'!B170)</f>
        <v/>
      </c>
      <c r="C162" s="3" t="str">
        <f>IF(ISNUMBER('Список деталей'!C170), $W$4,"")</f>
        <v/>
      </c>
      <c r="D162" s="3" t="str">
        <f>IF(ISNUMBER('Список деталей'!C170), 'Список деталей'!$I$4,"")</f>
        <v/>
      </c>
      <c r="E162" s="24" t="str">
        <f>IF(ISNUMBER('Список деталей'!E170), 'Список деталей'!E170, "")</f>
        <v/>
      </c>
      <c r="F162" s="24" t="str">
        <f>IF(ISNUMBER('Список деталей'!C170), 'Список деталей'!C170, "")</f>
        <v/>
      </c>
      <c r="G162" s="24" t="str">
        <f>IF(ISNUMBER('Список деталей'!D170), 'Список деталей'!D170, "")</f>
        <v/>
      </c>
      <c r="H162" s="3" t="str">
        <f t="shared" si="2"/>
        <v xml:space="preserve">    </v>
      </c>
      <c r="I162" s="3" t="str">
        <f>IF(ISBLANK('Список деталей'!F170),"",VLOOKUP('Список деталей'!F170,обозначениКромки,4,0))</f>
        <v/>
      </c>
      <c r="J162" s="25" t="str">
        <f>IF(ISBLANK('Список деталей'!G170),"",VLOOKUP('Список деталей'!G170,обозначениКромки,4,0))</f>
        <v/>
      </c>
      <c r="K162" s="25" t="str">
        <f>IF(ISBLANK('Список деталей'!H170),"",VLOOKUP('Список деталей'!H170,обозначениКромки,4,0))</f>
        <v/>
      </c>
      <c r="L162" s="25" t="str">
        <f>IF(ISBLANK('Список деталей'!I170),"",VLOOKUP('Список деталей'!I170,обозначениКромки,4,0))</f>
        <v/>
      </c>
      <c r="M162" s="24" t="str">
        <f>IF(ISBLANK('Список деталей'!Y170),"",('Список деталей'!Y170))</f>
        <v/>
      </c>
      <c r="N162" s="3" t="str">
        <f>IF(ISBLANK('Список деталей'!Z170),"",('Список деталей'!Z170))</f>
        <v/>
      </c>
      <c r="O162" s="3" t="str">
        <f>IF(ISBLANK('Список деталей'!AA170),"",('Список деталей'!AA170))</f>
        <v/>
      </c>
      <c r="P162" s="3" t="str">
        <f>IF(ISBLANK('Список деталей'!AB170),"",('Список деталей'!AB170))</f>
        <v/>
      </c>
      <c r="Q162" s="45">
        <f>VLOOKUP(IF(ISBLANK('Список деталей'!H170)=TRUE,7,'Список деталей'!H170),кромка,2,0)+VLOOKUP(IF(ISBLANK('Список деталей'!I170)=TRUE,7,'Список деталей'!I170),кромка,2,0)+'Список деталей'!C170</f>
        <v>0</v>
      </c>
      <c r="R162" s="45">
        <f>VLOOKUP(IF(ISBLANK('Список деталей'!F170)=TRUE,7,'Список деталей'!F170),кромка,2,0)+VLOOKUP(IF(ISBLANK('Список деталей'!G170)=TRUE,7,'Список деталей'!G170),кромка,2,0)+'Список деталей'!D170</f>
        <v>0</v>
      </c>
      <c r="S162" s="42">
        <f>IF('Список деталей'!H170="",0,1)+IF('Список деталей'!I170="",0,1)+'Список деталей'!C170</f>
        <v>0</v>
      </c>
      <c r="T162" s="42">
        <f>IF('Список деталей'!F170="",0,1)+IF('Список деталей'!G170="",0,1)+'Список деталей'!D170</f>
        <v>0</v>
      </c>
      <c r="U162" s="3" t="str">
        <f>IF(ISBLANK('Список деталей'!K170),"",'Список деталей'!K170)</f>
        <v/>
      </c>
      <c r="V162" s="3" t="str">
        <f>IF(AND('Список деталей'!C170&gt;849,'Список деталей'!D170&gt;849)=TRUE,1*'Список деталей'!E170,"")</f>
        <v/>
      </c>
    </row>
    <row r="163" spans="1:22" x14ac:dyDescent="0.45">
      <c r="A163" s="3">
        <f>IF(ISNUMBER('Список деталей'!A171), 'Список деталей'!A171, "")</f>
        <v>162</v>
      </c>
      <c r="B163" s="30" t="str">
        <f>IF(ISBLANK('Список деталей'!B171),"",'Список деталей'!B171)</f>
        <v/>
      </c>
      <c r="C163" s="3" t="str">
        <f>IF(ISNUMBER('Список деталей'!C171), $W$4,"")</f>
        <v/>
      </c>
      <c r="D163" s="3" t="str">
        <f>IF(ISNUMBER('Список деталей'!C171), 'Список деталей'!$I$4,"")</f>
        <v/>
      </c>
      <c r="E163" s="24" t="str">
        <f>IF(ISNUMBER('Список деталей'!E171), 'Список деталей'!E171, "")</f>
        <v/>
      </c>
      <c r="F163" s="24" t="str">
        <f>IF(ISNUMBER('Список деталей'!C171), 'Список деталей'!C171, "")</f>
        <v/>
      </c>
      <c r="G163" s="24" t="str">
        <f>IF(ISNUMBER('Список деталей'!D171), 'Список деталей'!D171, "")</f>
        <v/>
      </c>
      <c r="H163" s="3" t="str">
        <f t="shared" si="2"/>
        <v xml:space="preserve">    </v>
      </c>
      <c r="I163" s="3" t="str">
        <f>IF(ISBLANK('Список деталей'!F171),"",VLOOKUP('Список деталей'!F171,обозначениКромки,4,0))</f>
        <v/>
      </c>
      <c r="J163" s="25" t="str">
        <f>IF(ISBLANK('Список деталей'!G171),"",VLOOKUP('Список деталей'!G171,обозначениКромки,4,0))</f>
        <v/>
      </c>
      <c r="K163" s="25" t="str">
        <f>IF(ISBLANK('Список деталей'!H171),"",VLOOKUP('Список деталей'!H171,обозначениКромки,4,0))</f>
        <v/>
      </c>
      <c r="L163" s="25" t="str">
        <f>IF(ISBLANK('Список деталей'!I171),"",VLOOKUP('Список деталей'!I171,обозначениКромки,4,0))</f>
        <v/>
      </c>
      <c r="M163" s="24" t="str">
        <f>IF(ISBLANK('Список деталей'!Y171),"",('Список деталей'!Y171))</f>
        <v/>
      </c>
      <c r="N163" s="3" t="str">
        <f>IF(ISBLANK('Список деталей'!Z171),"",('Список деталей'!Z171))</f>
        <v/>
      </c>
      <c r="O163" s="3" t="str">
        <f>IF(ISBLANK('Список деталей'!AA171),"",('Список деталей'!AA171))</f>
        <v/>
      </c>
      <c r="P163" s="3" t="str">
        <f>IF(ISBLANK('Список деталей'!AB171),"",('Список деталей'!AB171))</f>
        <v/>
      </c>
      <c r="Q163" s="45">
        <f>VLOOKUP(IF(ISBLANK('Список деталей'!H171)=TRUE,7,'Список деталей'!H171),кромка,2,0)+VLOOKUP(IF(ISBLANK('Список деталей'!I171)=TRUE,7,'Список деталей'!I171),кромка,2,0)+'Список деталей'!C171</f>
        <v>0</v>
      </c>
      <c r="R163" s="45">
        <f>VLOOKUP(IF(ISBLANK('Список деталей'!F171)=TRUE,7,'Список деталей'!F171),кромка,2,0)+VLOOKUP(IF(ISBLANK('Список деталей'!G171)=TRUE,7,'Список деталей'!G171),кромка,2,0)+'Список деталей'!D171</f>
        <v>0</v>
      </c>
      <c r="S163" s="42">
        <f>IF('Список деталей'!H171="",0,1)+IF('Список деталей'!I171="",0,1)+'Список деталей'!C171</f>
        <v>0</v>
      </c>
      <c r="T163" s="42">
        <f>IF('Список деталей'!F171="",0,1)+IF('Список деталей'!G171="",0,1)+'Список деталей'!D171</f>
        <v>0</v>
      </c>
      <c r="U163" s="3" t="str">
        <f>IF(ISBLANK('Список деталей'!K171),"",'Список деталей'!K171)</f>
        <v/>
      </c>
      <c r="V163" s="3" t="str">
        <f>IF(AND('Список деталей'!C171&gt;849,'Список деталей'!D171&gt;849)=TRUE,1*'Список деталей'!E171,"")</f>
        <v/>
      </c>
    </row>
    <row r="164" spans="1:22" x14ac:dyDescent="0.45">
      <c r="A164" s="3">
        <f>IF(ISNUMBER('Список деталей'!A172), 'Список деталей'!A172, "")</f>
        <v>163</v>
      </c>
      <c r="B164" s="30" t="str">
        <f>IF(ISBLANK('Список деталей'!B172),"",'Список деталей'!B172)</f>
        <v/>
      </c>
      <c r="C164" s="3" t="str">
        <f>IF(ISNUMBER('Список деталей'!C172), $W$4,"")</f>
        <v/>
      </c>
      <c r="D164" s="3" t="str">
        <f>IF(ISNUMBER('Список деталей'!C172), 'Список деталей'!$I$4,"")</f>
        <v/>
      </c>
      <c r="E164" s="24" t="str">
        <f>IF(ISNUMBER('Список деталей'!E172), 'Список деталей'!E172, "")</f>
        <v/>
      </c>
      <c r="F164" s="24" t="str">
        <f>IF(ISNUMBER('Список деталей'!C172), 'Список деталей'!C172, "")</f>
        <v/>
      </c>
      <c r="G164" s="24" t="str">
        <f>IF(ISNUMBER('Список деталей'!D172), 'Список деталей'!D172, "")</f>
        <v/>
      </c>
      <c r="H164" s="3" t="str">
        <f t="shared" si="2"/>
        <v xml:space="preserve">    </v>
      </c>
      <c r="I164" s="3" t="str">
        <f>IF(ISBLANK('Список деталей'!F172),"",VLOOKUP('Список деталей'!F172,обозначениКромки,4,0))</f>
        <v/>
      </c>
      <c r="J164" s="25" t="str">
        <f>IF(ISBLANK('Список деталей'!G172),"",VLOOKUP('Список деталей'!G172,обозначениКромки,4,0))</f>
        <v/>
      </c>
      <c r="K164" s="25" t="str">
        <f>IF(ISBLANK('Список деталей'!H172),"",VLOOKUP('Список деталей'!H172,обозначениКромки,4,0))</f>
        <v/>
      </c>
      <c r="L164" s="25" t="str">
        <f>IF(ISBLANK('Список деталей'!I172),"",VLOOKUP('Список деталей'!I172,обозначениКромки,4,0))</f>
        <v/>
      </c>
      <c r="M164" s="24" t="str">
        <f>IF(ISBLANK('Список деталей'!Y172),"",('Список деталей'!Y172))</f>
        <v/>
      </c>
      <c r="N164" s="3" t="str">
        <f>IF(ISBLANK('Список деталей'!Z172),"",('Список деталей'!Z172))</f>
        <v/>
      </c>
      <c r="O164" s="3" t="str">
        <f>IF(ISBLANK('Список деталей'!AA172),"",('Список деталей'!AA172))</f>
        <v/>
      </c>
      <c r="P164" s="3" t="str">
        <f>IF(ISBLANK('Список деталей'!AB172),"",('Список деталей'!AB172))</f>
        <v/>
      </c>
      <c r="Q164" s="45">
        <f>VLOOKUP(IF(ISBLANK('Список деталей'!H172)=TRUE,7,'Список деталей'!H172),кромка,2,0)+VLOOKUP(IF(ISBLANK('Список деталей'!I172)=TRUE,7,'Список деталей'!I172),кромка,2,0)+'Список деталей'!C172</f>
        <v>0</v>
      </c>
      <c r="R164" s="45">
        <f>VLOOKUP(IF(ISBLANK('Список деталей'!F172)=TRUE,7,'Список деталей'!F172),кромка,2,0)+VLOOKUP(IF(ISBLANK('Список деталей'!G172)=TRUE,7,'Список деталей'!G172),кромка,2,0)+'Список деталей'!D172</f>
        <v>0</v>
      </c>
      <c r="S164" s="42">
        <f>IF('Список деталей'!H172="",0,1)+IF('Список деталей'!I172="",0,1)+'Список деталей'!C172</f>
        <v>0</v>
      </c>
      <c r="T164" s="42">
        <f>IF('Список деталей'!F172="",0,1)+IF('Список деталей'!G172="",0,1)+'Список деталей'!D172</f>
        <v>0</v>
      </c>
      <c r="U164" s="3" t="str">
        <f>IF(ISBLANK('Список деталей'!K172),"",'Список деталей'!K172)</f>
        <v/>
      </c>
      <c r="V164" s="3" t="str">
        <f>IF(AND('Список деталей'!C172&gt;849,'Список деталей'!D172&gt;849)=TRUE,1*'Список деталей'!E172,"")</f>
        <v/>
      </c>
    </row>
    <row r="165" spans="1:22" x14ac:dyDescent="0.45">
      <c r="A165" s="3">
        <f>IF(ISNUMBER('Список деталей'!A173), 'Список деталей'!A173, "")</f>
        <v>164</v>
      </c>
      <c r="B165" s="30" t="str">
        <f>IF(ISBLANK('Список деталей'!B173),"",'Список деталей'!B173)</f>
        <v/>
      </c>
      <c r="C165" s="3" t="str">
        <f>IF(ISNUMBER('Список деталей'!C173), $W$4,"")</f>
        <v/>
      </c>
      <c r="D165" s="3" t="str">
        <f>IF(ISNUMBER('Список деталей'!C173), 'Список деталей'!$I$4,"")</f>
        <v/>
      </c>
      <c r="E165" s="24" t="str">
        <f>IF(ISNUMBER('Список деталей'!E173), 'Список деталей'!E173, "")</f>
        <v/>
      </c>
      <c r="F165" s="24" t="str">
        <f>IF(ISNUMBER('Список деталей'!C173), 'Список деталей'!C173, "")</f>
        <v/>
      </c>
      <c r="G165" s="24" t="str">
        <f>IF(ISNUMBER('Список деталей'!D173), 'Список деталей'!D173, "")</f>
        <v/>
      </c>
      <c r="H165" s="3" t="str">
        <f t="shared" si="2"/>
        <v xml:space="preserve">    </v>
      </c>
      <c r="I165" s="3" t="str">
        <f>IF(ISBLANK('Список деталей'!F173),"",VLOOKUP('Список деталей'!F173,обозначениКромки,4,0))</f>
        <v/>
      </c>
      <c r="J165" s="25" t="str">
        <f>IF(ISBLANK('Список деталей'!G173),"",VLOOKUP('Список деталей'!G173,обозначениКромки,4,0))</f>
        <v/>
      </c>
      <c r="K165" s="25" t="str">
        <f>IF(ISBLANK('Список деталей'!H173),"",VLOOKUP('Список деталей'!H173,обозначениКромки,4,0))</f>
        <v/>
      </c>
      <c r="L165" s="25" t="str">
        <f>IF(ISBLANK('Список деталей'!I173),"",VLOOKUP('Список деталей'!I173,обозначениКромки,4,0))</f>
        <v/>
      </c>
      <c r="M165" s="24" t="str">
        <f>IF(ISBLANK('Список деталей'!Y173),"",('Список деталей'!Y173))</f>
        <v/>
      </c>
      <c r="N165" s="3" t="str">
        <f>IF(ISBLANK('Список деталей'!Z173),"",('Список деталей'!Z173))</f>
        <v/>
      </c>
      <c r="O165" s="3" t="str">
        <f>IF(ISBLANK('Список деталей'!AA173),"",('Список деталей'!AA173))</f>
        <v/>
      </c>
      <c r="P165" s="3" t="str">
        <f>IF(ISBLANK('Список деталей'!AB173),"",('Список деталей'!AB173))</f>
        <v/>
      </c>
      <c r="Q165" s="45">
        <f>VLOOKUP(IF(ISBLANK('Список деталей'!H173)=TRUE,7,'Список деталей'!H173),кромка,2,0)+VLOOKUP(IF(ISBLANK('Список деталей'!I173)=TRUE,7,'Список деталей'!I173),кромка,2,0)+'Список деталей'!C173</f>
        <v>0</v>
      </c>
      <c r="R165" s="45">
        <f>VLOOKUP(IF(ISBLANK('Список деталей'!F173)=TRUE,7,'Список деталей'!F173),кромка,2,0)+VLOOKUP(IF(ISBLANK('Список деталей'!G173)=TRUE,7,'Список деталей'!G173),кромка,2,0)+'Список деталей'!D173</f>
        <v>0</v>
      </c>
      <c r="S165" s="42">
        <f>IF('Список деталей'!H173="",0,1)+IF('Список деталей'!I173="",0,1)+'Список деталей'!C173</f>
        <v>0</v>
      </c>
      <c r="T165" s="42">
        <f>IF('Список деталей'!F173="",0,1)+IF('Список деталей'!G173="",0,1)+'Список деталей'!D173</f>
        <v>0</v>
      </c>
      <c r="U165" s="3" t="str">
        <f>IF(ISBLANK('Список деталей'!K173),"",'Список деталей'!K173)</f>
        <v/>
      </c>
      <c r="V165" s="3" t="str">
        <f>IF(AND('Список деталей'!C173&gt;849,'Список деталей'!D173&gt;849)=TRUE,1*'Список деталей'!E173,"")</f>
        <v/>
      </c>
    </row>
    <row r="166" spans="1:22" x14ac:dyDescent="0.45">
      <c r="A166" s="3">
        <f>IF(ISNUMBER('Список деталей'!A174), 'Список деталей'!A174, "")</f>
        <v>165</v>
      </c>
      <c r="B166" s="30" t="str">
        <f>IF(ISBLANK('Список деталей'!B174),"",'Список деталей'!B174)</f>
        <v/>
      </c>
      <c r="C166" s="3" t="str">
        <f>IF(ISNUMBER('Список деталей'!C174), $W$4,"")</f>
        <v/>
      </c>
      <c r="D166" s="3" t="str">
        <f>IF(ISNUMBER('Список деталей'!C174), 'Список деталей'!$I$4,"")</f>
        <v/>
      </c>
      <c r="E166" s="24" t="str">
        <f>IF(ISNUMBER('Список деталей'!E174), 'Список деталей'!E174, "")</f>
        <v/>
      </c>
      <c r="F166" s="24" t="str">
        <f>IF(ISNUMBER('Список деталей'!C174), 'Список деталей'!C174, "")</f>
        <v/>
      </c>
      <c r="G166" s="24" t="str">
        <f>IF(ISNUMBER('Список деталей'!D174), 'Список деталей'!D174, "")</f>
        <v/>
      </c>
      <c r="H166" s="3" t="str">
        <f t="shared" si="2"/>
        <v xml:space="preserve">    </v>
      </c>
      <c r="I166" s="3" t="str">
        <f>IF(ISBLANK('Список деталей'!F174),"",VLOOKUP('Список деталей'!F174,обозначениКромки,4,0))</f>
        <v/>
      </c>
      <c r="J166" s="25" t="str">
        <f>IF(ISBLANK('Список деталей'!G174),"",VLOOKUP('Список деталей'!G174,обозначениКромки,4,0))</f>
        <v/>
      </c>
      <c r="K166" s="25" t="str">
        <f>IF(ISBLANK('Список деталей'!H174),"",VLOOKUP('Список деталей'!H174,обозначениКромки,4,0))</f>
        <v/>
      </c>
      <c r="L166" s="25" t="str">
        <f>IF(ISBLANK('Список деталей'!I174),"",VLOOKUP('Список деталей'!I174,обозначениКромки,4,0))</f>
        <v/>
      </c>
      <c r="M166" s="24" t="str">
        <f>IF(ISBLANK('Список деталей'!Y174),"",('Список деталей'!Y174))</f>
        <v/>
      </c>
      <c r="N166" s="3" t="str">
        <f>IF(ISBLANK('Список деталей'!Z174),"",('Список деталей'!Z174))</f>
        <v/>
      </c>
      <c r="O166" s="3" t="str">
        <f>IF(ISBLANK('Список деталей'!AA174),"",('Список деталей'!AA174))</f>
        <v/>
      </c>
      <c r="P166" s="3" t="str">
        <f>IF(ISBLANK('Список деталей'!AB174),"",('Список деталей'!AB174))</f>
        <v/>
      </c>
      <c r="Q166" s="45">
        <f>VLOOKUP(IF(ISBLANK('Список деталей'!H174)=TRUE,7,'Список деталей'!H174),кромка,2,0)+VLOOKUP(IF(ISBLANK('Список деталей'!I174)=TRUE,7,'Список деталей'!I174),кромка,2,0)+'Список деталей'!C174</f>
        <v>0</v>
      </c>
      <c r="R166" s="45">
        <f>VLOOKUP(IF(ISBLANK('Список деталей'!F174)=TRUE,7,'Список деталей'!F174),кромка,2,0)+VLOOKUP(IF(ISBLANK('Список деталей'!G174)=TRUE,7,'Список деталей'!G174),кромка,2,0)+'Список деталей'!D174</f>
        <v>0</v>
      </c>
      <c r="S166" s="42">
        <f>IF('Список деталей'!H174="",0,1)+IF('Список деталей'!I174="",0,1)+'Список деталей'!C174</f>
        <v>0</v>
      </c>
      <c r="T166" s="42">
        <f>IF('Список деталей'!F174="",0,1)+IF('Список деталей'!G174="",0,1)+'Список деталей'!D174</f>
        <v>0</v>
      </c>
      <c r="U166" s="3" t="str">
        <f>IF(ISBLANK('Список деталей'!K174),"",'Список деталей'!K174)</f>
        <v/>
      </c>
      <c r="V166" s="3" t="str">
        <f>IF(AND('Список деталей'!C174&gt;849,'Список деталей'!D174&gt;849)=TRUE,1*'Список деталей'!E174,"")</f>
        <v/>
      </c>
    </row>
    <row r="167" spans="1:22" x14ac:dyDescent="0.45">
      <c r="A167" s="3">
        <f>IF(ISNUMBER('Список деталей'!A175), 'Список деталей'!A175, "")</f>
        <v>166</v>
      </c>
      <c r="B167" s="30" t="str">
        <f>IF(ISBLANK('Список деталей'!B175),"",'Список деталей'!B175)</f>
        <v/>
      </c>
      <c r="C167" s="3" t="str">
        <f>IF(ISNUMBER('Список деталей'!C175), $W$4,"")</f>
        <v/>
      </c>
      <c r="D167" s="3" t="str">
        <f>IF(ISNUMBER('Список деталей'!C175), 'Список деталей'!$I$4,"")</f>
        <v/>
      </c>
      <c r="E167" s="24" t="str">
        <f>IF(ISNUMBER('Список деталей'!E175), 'Список деталей'!E175, "")</f>
        <v/>
      </c>
      <c r="F167" s="24" t="str">
        <f>IF(ISNUMBER('Список деталей'!C175), 'Список деталей'!C175, "")</f>
        <v/>
      </c>
      <c r="G167" s="24" t="str">
        <f>IF(ISNUMBER('Список деталей'!D175), 'Список деталей'!D175, "")</f>
        <v/>
      </c>
      <c r="H167" s="3" t="str">
        <f t="shared" si="2"/>
        <v xml:space="preserve">    </v>
      </c>
      <c r="I167" s="3" t="str">
        <f>IF(ISBLANK('Список деталей'!F175),"",VLOOKUP('Список деталей'!F175,обозначениКромки,4,0))</f>
        <v/>
      </c>
      <c r="J167" s="25" t="str">
        <f>IF(ISBLANK('Список деталей'!G175),"",VLOOKUP('Список деталей'!G175,обозначениКромки,4,0))</f>
        <v/>
      </c>
      <c r="K167" s="25" t="str">
        <f>IF(ISBLANK('Список деталей'!H175),"",VLOOKUP('Список деталей'!H175,обозначениКромки,4,0))</f>
        <v/>
      </c>
      <c r="L167" s="25" t="str">
        <f>IF(ISBLANK('Список деталей'!I175),"",VLOOKUP('Список деталей'!I175,обозначениКромки,4,0))</f>
        <v/>
      </c>
      <c r="M167" s="24" t="str">
        <f>IF(ISBLANK('Список деталей'!Y175),"",('Список деталей'!Y175))</f>
        <v/>
      </c>
      <c r="N167" s="3" t="str">
        <f>IF(ISBLANK('Список деталей'!Z175),"",('Список деталей'!Z175))</f>
        <v/>
      </c>
      <c r="O167" s="3" t="str">
        <f>IF(ISBLANK('Список деталей'!AA175),"",('Список деталей'!AA175))</f>
        <v/>
      </c>
      <c r="P167" s="3" t="str">
        <f>IF(ISBLANK('Список деталей'!AB175),"",('Список деталей'!AB175))</f>
        <v/>
      </c>
      <c r="Q167" s="45">
        <f>VLOOKUP(IF(ISBLANK('Список деталей'!H175)=TRUE,7,'Список деталей'!H175),кромка,2,0)+VLOOKUP(IF(ISBLANK('Список деталей'!I175)=TRUE,7,'Список деталей'!I175),кромка,2,0)+'Список деталей'!C175</f>
        <v>0</v>
      </c>
      <c r="R167" s="45">
        <f>VLOOKUP(IF(ISBLANK('Список деталей'!F175)=TRUE,7,'Список деталей'!F175),кромка,2,0)+VLOOKUP(IF(ISBLANK('Список деталей'!G175)=TRUE,7,'Список деталей'!G175),кромка,2,0)+'Список деталей'!D175</f>
        <v>0</v>
      </c>
      <c r="S167" s="42">
        <f>IF('Список деталей'!H175="",0,1)+IF('Список деталей'!I175="",0,1)+'Список деталей'!C175</f>
        <v>0</v>
      </c>
      <c r="T167" s="42">
        <f>IF('Список деталей'!F175="",0,1)+IF('Список деталей'!G175="",0,1)+'Список деталей'!D175</f>
        <v>0</v>
      </c>
      <c r="U167" s="3" t="str">
        <f>IF(ISBLANK('Список деталей'!K175),"",'Список деталей'!K175)</f>
        <v/>
      </c>
      <c r="V167" s="3" t="str">
        <f>IF(AND('Список деталей'!C175&gt;849,'Список деталей'!D175&gt;849)=TRUE,1*'Список деталей'!E175,"")</f>
        <v/>
      </c>
    </row>
    <row r="168" spans="1:22" x14ac:dyDescent="0.45">
      <c r="A168" s="3">
        <f>IF(ISNUMBER('Список деталей'!A176), 'Список деталей'!A176, "")</f>
        <v>167</v>
      </c>
      <c r="B168" s="30" t="str">
        <f>IF(ISBLANK('Список деталей'!B176),"",'Список деталей'!B176)</f>
        <v/>
      </c>
      <c r="C168" s="3" t="str">
        <f>IF(ISNUMBER('Список деталей'!C176), $W$4,"")</f>
        <v/>
      </c>
      <c r="D168" s="3" t="str">
        <f>IF(ISNUMBER('Список деталей'!C176), 'Список деталей'!$I$4,"")</f>
        <v/>
      </c>
      <c r="E168" s="24" t="str">
        <f>IF(ISNUMBER('Список деталей'!E176), 'Список деталей'!E176, "")</f>
        <v/>
      </c>
      <c r="F168" s="24" t="str">
        <f>IF(ISNUMBER('Список деталей'!C176), 'Список деталей'!C176, "")</f>
        <v/>
      </c>
      <c r="G168" s="24" t="str">
        <f>IF(ISNUMBER('Список деталей'!D176), 'Список деталей'!D176, "")</f>
        <v/>
      </c>
      <c r="H168" s="3" t="str">
        <f t="shared" si="2"/>
        <v xml:space="preserve">    </v>
      </c>
      <c r="I168" s="3" t="str">
        <f>IF(ISBLANK('Список деталей'!F176),"",VLOOKUP('Список деталей'!F176,обозначениКромки,4,0))</f>
        <v/>
      </c>
      <c r="J168" s="25" t="str">
        <f>IF(ISBLANK('Список деталей'!G176),"",VLOOKUP('Список деталей'!G176,обозначениКромки,4,0))</f>
        <v/>
      </c>
      <c r="K168" s="25" t="str">
        <f>IF(ISBLANK('Список деталей'!H176),"",VLOOKUP('Список деталей'!H176,обозначениКромки,4,0))</f>
        <v/>
      </c>
      <c r="L168" s="25" t="str">
        <f>IF(ISBLANK('Список деталей'!I176),"",VLOOKUP('Список деталей'!I176,обозначениКромки,4,0))</f>
        <v/>
      </c>
      <c r="M168" s="24" t="str">
        <f>IF(ISBLANK('Список деталей'!Y176),"",('Список деталей'!Y176))</f>
        <v/>
      </c>
      <c r="N168" s="3" t="str">
        <f>IF(ISBLANK('Список деталей'!Z176),"",('Список деталей'!Z176))</f>
        <v/>
      </c>
      <c r="O168" s="3" t="str">
        <f>IF(ISBLANK('Список деталей'!AA176),"",('Список деталей'!AA176))</f>
        <v/>
      </c>
      <c r="P168" s="3" t="str">
        <f>IF(ISBLANK('Список деталей'!AB176),"",('Список деталей'!AB176))</f>
        <v/>
      </c>
      <c r="Q168" s="45">
        <f>VLOOKUP(IF(ISBLANK('Список деталей'!H176)=TRUE,7,'Список деталей'!H176),кромка,2,0)+VLOOKUP(IF(ISBLANK('Список деталей'!I176)=TRUE,7,'Список деталей'!I176),кромка,2,0)+'Список деталей'!C176</f>
        <v>0</v>
      </c>
      <c r="R168" s="45">
        <f>VLOOKUP(IF(ISBLANK('Список деталей'!F176)=TRUE,7,'Список деталей'!F176),кромка,2,0)+VLOOKUP(IF(ISBLANK('Список деталей'!G176)=TRUE,7,'Список деталей'!G176),кромка,2,0)+'Список деталей'!D176</f>
        <v>0</v>
      </c>
      <c r="S168" s="42">
        <f>IF('Список деталей'!H176="",0,1)+IF('Список деталей'!I176="",0,1)+'Список деталей'!C176</f>
        <v>0</v>
      </c>
      <c r="T168" s="42">
        <f>IF('Список деталей'!F176="",0,1)+IF('Список деталей'!G176="",0,1)+'Список деталей'!D176</f>
        <v>0</v>
      </c>
      <c r="U168" s="3" t="str">
        <f>IF(ISBLANK('Список деталей'!K176),"",'Список деталей'!K176)</f>
        <v/>
      </c>
      <c r="V168" s="3" t="str">
        <f>IF(AND('Список деталей'!C176&gt;849,'Список деталей'!D176&gt;849)=TRUE,1*'Список деталей'!E176,"")</f>
        <v/>
      </c>
    </row>
    <row r="169" spans="1:22" x14ac:dyDescent="0.45">
      <c r="A169" s="3">
        <f>IF(ISNUMBER('Список деталей'!A177), 'Список деталей'!A177, "")</f>
        <v>168</v>
      </c>
      <c r="B169" s="30" t="str">
        <f>IF(ISBLANK('Список деталей'!B177),"",'Список деталей'!B177)</f>
        <v/>
      </c>
      <c r="C169" s="3" t="str">
        <f>IF(ISNUMBER('Список деталей'!C177), $W$4,"")</f>
        <v/>
      </c>
      <c r="D169" s="3" t="str">
        <f>IF(ISNUMBER('Список деталей'!C177), 'Список деталей'!$I$4,"")</f>
        <v/>
      </c>
      <c r="E169" s="24" t="str">
        <f>IF(ISNUMBER('Список деталей'!E177), 'Список деталей'!E177, "")</f>
        <v/>
      </c>
      <c r="F169" s="24" t="str">
        <f>IF(ISNUMBER('Список деталей'!C177), 'Список деталей'!C177, "")</f>
        <v/>
      </c>
      <c r="G169" s="24" t="str">
        <f>IF(ISNUMBER('Список деталей'!D177), 'Список деталей'!D177, "")</f>
        <v/>
      </c>
      <c r="H169" s="3" t="str">
        <f t="shared" si="2"/>
        <v xml:space="preserve">    </v>
      </c>
      <c r="I169" s="3" t="str">
        <f>IF(ISBLANK('Список деталей'!F177),"",VLOOKUP('Список деталей'!F177,обозначениКромки,4,0))</f>
        <v/>
      </c>
      <c r="J169" s="25" t="str">
        <f>IF(ISBLANK('Список деталей'!G177),"",VLOOKUP('Список деталей'!G177,обозначениКромки,4,0))</f>
        <v/>
      </c>
      <c r="K169" s="25" t="str">
        <f>IF(ISBLANK('Список деталей'!H177),"",VLOOKUP('Список деталей'!H177,обозначениКромки,4,0))</f>
        <v/>
      </c>
      <c r="L169" s="25" t="str">
        <f>IF(ISBLANK('Список деталей'!I177),"",VLOOKUP('Список деталей'!I177,обозначениКромки,4,0))</f>
        <v/>
      </c>
      <c r="M169" s="24" t="str">
        <f>IF(ISBLANK('Список деталей'!Y177),"",('Список деталей'!Y177))</f>
        <v/>
      </c>
      <c r="N169" s="3" t="str">
        <f>IF(ISBLANK('Список деталей'!Z177),"",('Список деталей'!Z177))</f>
        <v/>
      </c>
      <c r="O169" s="3" t="str">
        <f>IF(ISBLANK('Список деталей'!AA177),"",('Список деталей'!AA177))</f>
        <v/>
      </c>
      <c r="P169" s="3" t="str">
        <f>IF(ISBLANK('Список деталей'!AB177),"",('Список деталей'!AB177))</f>
        <v/>
      </c>
      <c r="Q169" s="45">
        <f>VLOOKUP(IF(ISBLANK('Список деталей'!H177)=TRUE,7,'Список деталей'!H177),кромка,2,0)+VLOOKUP(IF(ISBLANK('Список деталей'!I177)=TRUE,7,'Список деталей'!I177),кромка,2,0)+'Список деталей'!C177</f>
        <v>0</v>
      </c>
      <c r="R169" s="45">
        <f>VLOOKUP(IF(ISBLANK('Список деталей'!F177)=TRUE,7,'Список деталей'!F177),кромка,2,0)+VLOOKUP(IF(ISBLANK('Список деталей'!G177)=TRUE,7,'Список деталей'!G177),кромка,2,0)+'Список деталей'!D177</f>
        <v>0</v>
      </c>
      <c r="S169" s="42">
        <f>IF('Список деталей'!H177="",0,1)+IF('Список деталей'!I177="",0,1)+'Список деталей'!C177</f>
        <v>0</v>
      </c>
      <c r="T169" s="42">
        <f>IF('Список деталей'!F177="",0,1)+IF('Список деталей'!G177="",0,1)+'Список деталей'!D177</f>
        <v>0</v>
      </c>
      <c r="U169" s="3" t="str">
        <f>IF(ISBLANK('Список деталей'!K177),"",'Список деталей'!K177)</f>
        <v/>
      </c>
      <c r="V169" s="3" t="str">
        <f>IF(AND('Список деталей'!C177&gt;849,'Список деталей'!D177&gt;849)=TRUE,1*'Список деталей'!E177,"")</f>
        <v/>
      </c>
    </row>
    <row r="170" spans="1:22" x14ac:dyDescent="0.45">
      <c r="A170" s="3">
        <f>IF(ISNUMBER('Список деталей'!A178), 'Список деталей'!A178, "")</f>
        <v>169</v>
      </c>
      <c r="B170" s="30" t="str">
        <f>IF(ISBLANK('Список деталей'!B178),"",'Список деталей'!B178)</f>
        <v/>
      </c>
      <c r="C170" s="3" t="str">
        <f>IF(ISNUMBER('Список деталей'!C178), $W$4,"")</f>
        <v/>
      </c>
      <c r="D170" s="3" t="str">
        <f>IF(ISNUMBER('Список деталей'!C178), 'Список деталей'!$I$4,"")</f>
        <v/>
      </c>
      <c r="E170" s="24" t="str">
        <f>IF(ISNUMBER('Список деталей'!E178), 'Список деталей'!E178, "")</f>
        <v/>
      </c>
      <c r="F170" s="24" t="str">
        <f>IF(ISNUMBER('Список деталей'!C178), 'Список деталей'!C178, "")</f>
        <v/>
      </c>
      <c r="G170" s="24" t="str">
        <f>IF(ISNUMBER('Список деталей'!D178), 'Список деталей'!D178, "")</f>
        <v/>
      </c>
      <c r="H170" s="3" t="str">
        <f t="shared" si="2"/>
        <v xml:space="preserve">    </v>
      </c>
      <c r="I170" s="3" t="str">
        <f>IF(ISBLANK('Список деталей'!F178),"",VLOOKUP('Список деталей'!F178,обозначениКромки,4,0))</f>
        <v/>
      </c>
      <c r="J170" s="25" t="str">
        <f>IF(ISBLANK('Список деталей'!G178),"",VLOOKUP('Список деталей'!G178,обозначениКромки,4,0))</f>
        <v/>
      </c>
      <c r="K170" s="25" t="str">
        <f>IF(ISBLANK('Список деталей'!H178),"",VLOOKUP('Список деталей'!H178,обозначениКромки,4,0))</f>
        <v/>
      </c>
      <c r="L170" s="25" t="str">
        <f>IF(ISBLANK('Список деталей'!I178),"",VLOOKUP('Список деталей'!I178,обозначениКромки,4,0))</f>
        <v/>
      </c>
      <c r="M170" s="24" t="str">
        <f>IF(ISBLANK('Список деталей'!Y178),"",('Список деталей'!Y178))</f>
        <v/>
      </c>
      <c r="N170" s="3" t="str">
        <f>IF(ISBLANK('Список деталей'!Z178),"",('Список деталей'!Z178))</f>
        <v/>
      </c>
      <c r="O170" s="3" t="str">
        <f>IF(ISBLANK('Список деталей'!AA178),"",('Список деталей'!AA178))</f>
        <v/>
      </c>
      <c r="P170" s="3" t="str">
        <f>IF(ISBLANK('Список деталей'!AB178),"",('Список деталей'!AB178))</f>
        <v/>
      </c>
      <c r="Q170" s="45">
        <f>VLOOKUP(IF(ISBLANK('Список деталей'!H178)=TRUE,7,'Список деталей'!H178),кромка,2,0)+VLOOKUP(IF(ISBLANK('Список деталей'!I178)=TRUE,7,'Список деталей'!I178),кромка,2,0)+'Список деталей'!C178</f>
        <v>0</v>
      </c>
      <c r="R170" s="45">
        <f>VLOOKUP(IF(ISBLANK('Список деталей'!F178)=TRUE,7,'Список деталей'!F178),кромка,2,0)+VLOOKUP(IF(ISBLANK('Список деталей'!G178)=TRUE,7,'Список деталей'!G178),кромка,2,0)+'Список деталей'!D178</f>
        <v>0</v>
      </c>
      <c r="S170" s="42">
        <f>IF('Список деталей'!H178="",0,1)+IF('Список деталей'!I178="",0,1)+'Список деталей'!C178</f>
        <v>0</v>
      </c>
      <c r="T170" s="42">
        <f>IF('Список деталей'!F178="",0,1)+IF('Список деталей'!G178="",0,1)+'Список деталей'!D178</f>
        <v>0</v>
      </c>
      <c r="U170" s="3" t="str">
        <f>IF(ISBLANK('Список деталей'!K178),"",'Список деталей'!K178)</f>
        <v/>
      </c>
      <c r="V170" s="3" t="str">
        <f>IF(AND('Список деталей'!C178&gt;849,'Список деталей'!D178&gt;849)=TRUE,1*'Список деталей'!E178,"")</f>
        <v/>
      </c>
    </row>
    <row r="171" spans="1:22" x14ac:dyDescent="0.45">
      <c r="A171" s="3">
        <f>IF(ISNUMBER('Список деталей'!A179), 'Список деталей'!A179, "")</f>
        <v>170</v>
      </c>
      <c r="B171" s="30" t="str">
        <f>IF(ISBLANK('Список деталей'!B179),"",'Список деталей'!B179)</f>
        <v/>
      </c>
      <c r="C171" s="3" t="str">
        <f>IF(ISNUMBER('Список деталей'!C179), $W$4,"")</f>
        <v/>
      </c>
      <c r="D171" s="3" t="str">
        <f>IF(ISNUMBER('Список деталей'!C179), 'Список деталей'!$I$4,"")</f>
        <v/>
      </c>
      <c r="E171" s="24" t="str">
        <f>IF(ISNUMBER('Список деталей'!E179), 'Список деталей'!E179, "")</f>
        <v/>
      </c>
      <c r="F171" s="24" t="str">
        <f>IF(ISNUMBER('Список деталей'!C179), 'Список деталей'!C179, "")</f>
        <v/>
      </c>
      <c r="G171" s="24" t="str">
        <f>IF(ISNUMBER('Список деталей'!D179), 'Список деталей'!D179, "")</f>
        <v/>
      </c>
      <c r="H171" s="3" t="str">
        <f t="shared" si="2"/>
        <v xml:space="preserve">    </v>
      </c>
      <c r="I171" s="3" t="str">
        <f>IF(ISBLANK('Список деталей'!F179),"",VLOOKUP('Список деталей'!F179,обозначениКромки,4,0))</f>
        <v/>
      </c>
      <c r="J171" s="25" t="str">
        <f>IF(ISBLANK('Список деталей'!G179),"",VLOOKUP('Список деталей'!G179,обозначениКромки,4,0))</f>
        <v/>
      </c>
      <c r="K171" s="25" t="str">
        <f>IF(ISBLANK('Список деталей'!H179),"",VLOOKUP('Список деталей'!H179,обозначениКромки,4,0))</f>
        <v/>
      </c>
      <c r="L171" s="25" t="str">
        <f>IF(ISBLANK('Список деталей'!I179),"",VLOOKUP('Список деталей'!I179,обозначениКромки,4,0))</f>
        <v/>
      </c>
      <c r="M171" s="24" t="str">
        <f>IF(ISBLANK('Список деталей'!Y179),"",('Список деталей'!Y179))</f>
        <v/>
      </c>
      <c r="N171" s="3" t="str">
        <f>IF(ISBLANK('Список деталей'!Z179),"",('Список деталей'!Z179))</f>
        <v/>
      </c>
      <c r="O171" s="3" t="str">
        <f>IF(ISBLANK('Список деталей'!AA179),"",('Список деталей'!AA179))</f>
        <v/>
      </c>
      <c r="P171" s="3" t="str">
        <f>IF(ISBLANK('Список деталей'!AB179),"",('Список деталей'!AB179))</f>
        <v/>
      </c>
      <c r="Q171" s="45">
        <f>VLOOKUP(IF(ISBLANK('Список деталей'!H179)=TRUE,7,'Список деталей'!H179),кромка,2,0)+VLOOKUP(IF(ISBLANK('Список деталей'!I179)=TRUE,7,'Список деталей'!I179),кромка,2,0)+'Список деталей'!C179</f>
        <v>0</v>
      </c>
      <c r="R171" s="45">
        <f>VLOOKUP(IF(ISBLANK('Список деталей'!F179)=TRUE,7,'Список деталей'!F179),кромка,2,0)+VLOOKUP(IF(ISBLANK('Список деталей'!G179)=TRUE,7,'Список деталей'!G179),кромка,2,0)+'Список деталей'!D179</f>
        <v>0</v>
      </c>
      <c r="S171" s="42">
        <f>IF('Список деталей'!H179="",0,1)+IF('Список деталей'!I179="",0,1)+'Список деталей'!C179</f>
        <v>0</v>
      </c>
      <c r="T171" s="42">
        <f>IF('Список деталей'!F179="",0,1)+IF('Список деталей'!G179="",0,1)+'Список деталей'!D179</f>
        <v>0</v>
      </c>
      <c r="U171" s="3" t="str">
        <f>IF(ISBLANK('Список деталей'!K179),"",'Список деталей'!K179)</f>
        <v/>
      </c>
      <c r="V171" s="3" t="str">
        <f>IF(AND('Список деталей'!C179&gt;849,'Список деталей'!D179&gt;849)=TRUE,1*'Список деталей'!E179,"")</f>
        <v/>
      </c>
    </row>
    <row r="172" spans="1:22" x14ac:dyDescent="0.45">
      <c r="A172" s="3">
        <f>IF(ISNUMBER('Список деталей'!A180), 'Список деталей'!A180, "")</f>
        <v>171</v>
      </c>
      <c r="B172" s="30" t="str">
        <f>IF(ISBLANK('Список деталей'!B180),"",'Список деталей'!B180)</f>
        <v/>
      </c>
      <c r="C172" s="3" t="str">
        <f>IF(ISNUMBER('Список деталей'!C180), $W$4,"")</f>
        <v/>
      </c>
      <c r="D172" s="3" t="str">
        <f>IF(ISNUMBER('Список деталей'!C180), 'Список деталей'!$I$4,"")</f>
        <v/>
      </c>
      <c r="E172" s="24" t="str">
        <f>IF(ISNUMBER('Список деталей'!E180), 'Список деталей'!E180, "")</f>
        <v/>
      </c>
      <c r="F172" s="24" t="str">
        <f>IF(ISNUMBER('Список деталей'!C180), 'Список деталей'!C180, "")</f>
        <v/>
      </c>
      <c r="G172" s="24" t="str">
        <f>IF(ISNUMBER('Список деталей'!D180), 'Список деталей'!D180, "")</f>
        <v/>
      </c>
      <c r="H172" s="3" t="str">
        <f t="shared" si="2"/>
        <v xml:space="preserve">    </v>
      </c>
      <c r="I172" s="3" t="str">
        <f>IF(ISBLANK('Список деталей'!F180),"",VLOOKUP('Список деталей'!F180,обозначениКромки,4,0))</f>
        <v/>
      </c>
      <c r="J172" s="25" t="str">
        <f>IF(ISBLANK('Список деталей'!G180),"",VLOOKUP('Список деталей'!G180,обозначениКромки,4,0))</f>
        <v/>
      </c>
      <c r="K172" s="25" t="str">
        <f>IF(ISBLANK('Список деталей'!H180),"",VLOOKUP('Список деталей'!H180,обозначениКромки,4,0))</f>
        <v/>
      </c>
      <c r="L172" s="25" t="str">
        <f>IF(ISBLANK('Список деталей'!I180),"",VLOOKUP('Список деталей'!I180,обозначениКромки,4,0))</f>
        <v/>
      </c>
      <c r="M172" s="24" t="str">
        <f>IF(ISBLANK('Список деталей'!Y180),"",('Список деталей'!Y180))</f>
        <v/>
      </c>
      <c r="N172" s="3" t="str">
        <f>IF(ISBLANK('Список деталей'!Z180),"",('Список деталей'!Z180))</f>
        <v/>
      </c>
      <c r="O172" s="3" t="str">
        <f>IF(ISBLANK('Список деталей'!AA180),"",('Список деталей'!AA180))</f>
        <v/>
      </c>
      <c r="P172" s="3" t="str">
        <f>IF(ISBLANK('Список деталей'!AB180),"",('Список деталей'!AB180))</f>
        <v/>
      </c>
      <c r="Q172" s="45">
        <f>VLOOKUP(IF(ISBLANK('Список деталей'!H180)=TRUE,7,'Список деталей'!H180),кромка,2,0)+VLOOKUP(IF(ISBLANK('Список деталей'!I180)=TRUE,7,'Список деталей'!I180),кромка,2,0)+'Список деталей'!C180</f>
        <v>0</v>
      </c>
      <c r="R172" s="45">
        <f>VLOOKUP(IF(ISBLANK('Список деталей'!F180)=TRUE,7,'Список деталей'!F180),кромка,2,0)+VLOOKUP(IF(ISBLANK('Список деталей'!G180)=TRUE,7,'Список деталей'!G180),кромка,2,0)+'Список деталей'!D180</f>
        <v>0</v>
      </c>
      <c r="S172" s="42">
        <f>IF('Список деталей'!H180="",0,1)+IF('Список деталей'!I180="",0,1)+'Список деталей'!C180</f>
        <v>0</v>
      </c>
      <c r="T172" s="42">
        <f>IF('Список деталей'!F180="",0,1)+IF('Список деталей'!G180="",0,1)+'Список деталей'!D180</f>
        <v>0</v>
      </c>
      <c r="U172" s="3" t="str">
        <f>IF(ISBLANK('Список деталей'!K180),"",'Список деталей'!K180)</f>
        <v/>
      </c>
      <c r="V172" s="3" t="str">
        <f>IF(AND('Список деталей'!C180&gt;849,'Список деталей'!D180&gt;849)=TRUE,1*'Список деталей'!E180,"")</f>
        <v/>
      </c>
    </row>
    <row r="173" spans="1:22" x14ac:dyDescent="0.45">
      <c r="A173" s="3">
        <f>IF(ISNUMBER('Список деталей'!A181), 'Список деталей'!A181, "")</f>
        <v>172</v>
      </c>
      <c r="B173" s="30" t="str">
        <f>IF(ISBLANK('Список деталей'!B181),"",'Список деталей'!B181)</f>
        <v/>
      </c>
      <c r="C173" s="3" t="str">
        <f>IF(ISNUMBER('Список деталей'!C181), $W$4,"")</f>
        <v/>
      </c>
      <c r="D173" s="3" t="str">
        <f>IF(ISNUMBER('Список деталей'!C181), 'Список деталей'!$I$4,"")</f>
        <v/>
      </c>
      <c r="E173" s="24" t="str">
        <f>IF(ISNUMBER('Список деталей'!E181), 'Список деталей'!E181, "")</f>
        <v/>
      </c>
      <c r="F173" s="24" t="str">
        <f>IF(ISNUMBER('Список деталей'!C181), 'Список деталей'!C181, "")</f>
        <v/>
      </c>
      <c r="G173" s="24" t="str">
        <f>IF(ISNUMBER('Список деталей'!D181), 'Список деталей'!D181, "")</f>
        <v/>
      </c>
      <c r="H173" s="3" t="str">
        <f t="shared" si="2"/>
        <v xml:space="preserve">    </v>
      </c>
      <c r="I173" s="3" t="str">
        <f>IF(ISBLANK('Список деталей'!F181),"",VLOOKUP('Список деталей'!F181,обозначениКромки,4,0))</f>
        <v/>
      </c>
      <c r="J173" s="25" t="str">
        <f>IF(ISBLANK('Список деталей'!G181),"",VLOOKUP('Список деталей'!G181,обозначениКромки,4,0))</f>
        <v/>
      </c>
      <c r="K173" s="25" t="str">
        <f>IF(ISBLANK('Список деталей'!H181),"",VLOOKUP('Список деталей'!H181,обозначениКромки,4,0))</f>
        <v/>
      </c>
      <c r="L173" s="25" t="str">
        <f>IF(ISBLANK('Список деталей'!I181),"",VLOOKUP('Список деталей'!I181,обозначениКромки,4,0))</f>
        <v/>
      </c>
      <c r="M173" s="24" t="str">
        <f>IF(ISBLANK('Список деталей'!Y181),"",('Список деталей'!Y181))</f>
        <v/>
      </c>
      <c r="N173" s="3" t="str">
        <f>IF(ISBLANK('Список деталей'!Z181),"",('Список деталей'!Z181))</f>
        <v/>
      </c>
      <c r="O173" s="3" t="str">
        <f>IF(ISBLANK('Список деталей'!AA181),"",('Список деталей'!AA181))</f>
        <v/>
      </c>
      <c r="P173" s="3" t="str">
        <f>IF(ISBLANK('Список деталей'!AB181),"",('Список деталей'!AB181))</f>
        <v/>
      </c>
      <c r="Q173" s="45">
        <f>VLOOKUP(IF(ISBLANK('Список деталей'!H181)=TRUE,7,'Список деталей'!H181),кромка,2,0)+VLOOKUP(IF(ISBLANK('Список деталей'!I181)=TRUE,7,'Список деталей'!I181),кромка,2,0)+'Список деталей'!C181</f>
        <v>0</v>
      </c>
      <c r="R173" s="45">
        <f>VLOOKUP(IF(ISBLANK('Список деталей'!F181)=TRUE,7,'Список деталей'!F181),кромка,2,0)+VLOOKUP(IF(ISBLANK('Список деталей'!G181)=TRUE,7,'Список деталей'!G181),кромка,2,0)+'Список деталей'!D181</f>
        <v>0</v>
      </c>
      <c r="S173" s="42">
        <f>IF('Список деталей'!H181="",0,1)+IF('Список деталей'!I181="",0,1)+'Список деталей'!C181</f>
        <v>0</v>
      </c>
      <c r="T173" s="42">
        <f>IF('Список деталей'!F181="",0,1)+IF('Список деталей'!G181="",0,1)+'Список деталей'!D181</f>
        <v>0</v>
      </c>
      <c r="U173" s="3" t="str">
        <f>IF(ISBLANK('Список деталей'!K181),"",'Список деталей'!K181)</f>
        <v/>
      </c>
      <c r="V173" s="3" t="str">
        <f>IF(AND('Список деталей'!C181&gt;849,'Список деталей'!D181&gt;849)=TRUE,1*'Список деталей'!E181,"")</f>
        <v/>
      </c>
    </row>
    <row r="174" spans="1:22" x14ac:dyDescent="0.45">
      <c r="A174" s="3">
        <f>IF(ISNUMBER('Список деталей'!A182), 'Список деталей'!A182, "")</f>
        <v>173</v>
      </c>
      <c r="B174" s="30" t="str">
        <f>IF(ISBLANK('Список деталей'!B182),"",'Список деталей'!B182)</f>
        <v/>
      </c>
      <c r="C174" s="3" t="str">
        <f>IF(ISNUMBER('Список деталей'!C182), $W$4,"")</f>
        <v/>
      </c>
      <c r="D174" s="3" t="str">
        <f>IF(ISNUMBER('Список деталей'!C182), 'Список деталей'!$I$4,"")</f>
        <v/>
      </c>
      <c r="E174" s="24" t="str">
        <f>IF(ISNUMBER('Список деталей'!E182), 'Список деталей'!E182, "")</f>
        <v/>
      </c>
      <c r="F174" s="24" t="str">
        <f>IF(ISNUMBER('Список деталей'!C182), 'Список деталей'!C182, "")</f>
        <v/>
      </c>
      <c r="G174" s="24" t="str">
        <f>IF(ISNUMBER('Список деталей'!D182), 'Список деталей'!D182, "")</f>
        <v/>
      </c>
      <c r="H174" s="3" t="str">
        <f t="shared" si="2"/>
        <v xml:space="preserve">    </v>
      </c>
      <c r="I174" s="3" t="str">
        <f>IF(ISBLANK('Список деталей'!F182),"",VLOOKUP('Список деталей'!F182,обозначениКромки,4,0))</f>
        <v/>
      </c>
      <c r="J174" s="25" t="str">
        <f>IF(ISBLANK('Список деталей'!G182),"",VLOOKUP('Список деталей'!G182,обозначениКромки,4,0))</f>
        <v/>
      </c>
      <c r="K174" s="25" t="str">
        <f>IF(ISBLANK('Список деталей'!H182),"",VLOOKUP('Список деталей'!H182,обозначениКромки,4,0))</f>
        <v/>
      </c>
      <c r="L174" s="25" t="str">
        <f>IF(ISBLANK('Список деталей'!I182),"",VLOOKUP('Список деталей'!I182,обозначениКромки,4,0))</f>
        <v/>
      </c>
      <c r="M174" s="24" t="str">
        <f>IF(ISBLANK('Список деталей'!Y182),"",('Список деталей'!Y182))</f>
        <v/>
      </c>
      <c r="N174" s="3" t="str">
        <f>IF(ISBLANK('Список деталей'!Z182),"",('Список деталей'!Z182))</f>
        <v/>
      </c>
      <c r="O174" s="3" t="str">
        <f>IF(ISBLANK('Список деталей'!AA182),"",('Список деталей'!AA182))</f>
        <v/>
      </c>
      <c r="P174" s="3" t="str">
        <f>IF(ISBLANK('Список деталей'!AB182),"",('Список деталей'!AB182))</f>
        <v/>
      </c>
      <c r="Q174" s="45">
        <f>VLOOKUP(IF(ISBLANK('Список деталей'!H182)=TRUE,7,'Список деталей'!H182),кромка,2,0)+VLOOKUP(IF(ISBLANK('Список деталей'!I182)=TRUE,7,'Список деталей'!I182),кромка,2,0)+'Список деталей'!C182</f>
        <v>0</v>
      </c>
      <c r="R174" s="45">
        <f>VLOOKUP(IF(ISBLANK('Список деталей'!F182)=TRUE,7,'Список деталей'!F182),кромка,2,0)+VLOOKUP(IF(ISBLANK('Список деталей'!G182)=TRUE,7,'Список деталей'!G182),кромка,2,0)+'Список деталей'!D182</f>
        <v>0</v>
      </c>
      <c r="S174" s="42">
        <f>IF('Список деталей'!H182="",0,1)+IF('Список деталей'!I182="",0,1)+'Список деталей'!C182</f>
        <v>0</v>
      </c>
      <c r="T174" s="42">
        <f>IF('Список деталей'!F182="",0,1)+IF('Список деталей'!G182="",0,1)+'Список деталей'!D182</f>
        <v>0</v>
      </c>
      <c r="U174" s="3" t="str">
        <f>IF(ISBLANK('Список деталей'!K182),"",'Список деталей'!K182)</f>
        <v/>
      </c>
      <c r="V174" s="3" t="str">
        <f>IF(AND('Список деталей'!C182&gt;849,'Список деталей'!D182&gt;849)=TRUE,1*'Список деталей'!E182,"")</f>
        <v/>
      </c>
    </row>
    <row r="175" spans="1:22" x14ac:dyDescent="0.45">
      <c r="A175" s="3">
        <f>IF(ISNUMBER('Список деталей'!A183), 'Список деталей'!A183, "")</f>
        <v>174</v>
      </c>
      <c r="B175" s="30" t="str">
        <f>IF(ISBLANK('Список деталей'!B183),"",'Список деталей'!B183)</f>
        <v/>
      </c>
      <c r="C175" s="3" t="str">
        <f>IF(ISNUMBER('Список деталей'!C183), $W$4,"")</f>
        <v/>
      </c>
      <c r="D175" s="3" t="str">
        <f>IF(ISNUMBER('Список деталей'!C183), 'Список деталей'!$I$4,"")</f>
        <v/>
      </c>
      <c r="E175" s="24" t="str">
        <f>IF(ISNUMBER('Список деталей'!E183), 'Список деталей'!E183, "")</f>
        <v/>
      </c>
      <c r="F175" s="24" t="str">
        <f>IF(ISNUMBER('Список деталей'!C183), 'Список деталей'!C183, "")</f>
        <v/>
      </c>
      <c r="G175" s="24" t="str">
        <f>IF(ISNUMBER('Список деталей'!D183), 'Список деталей'!D183, "")</f>
        <v/>
      </c>
      <c r="H175" s="3" t="str">
        <f t="shared" si="2"/>
        <v xml:space="preserve">    </v>
      </c>
      <c r="I175" s="3" t="str">
        <f>IF(ISBLANK('Список деталей'!F183),"",VLOOKUP('Список деталей'!F183,обозначениКромки,4,0))</f>
        <v/>
      </c>
      <c r="J175" s="25" t="str">
        <f>IF(ISBLANK('Список деталей'!G183),"",VLOOKUP('Список деталей'!G183,обозначениКромки,4,0))</f>
        <v/>
      </c>
      <c r="K175" s="25" t="str">
        <f>IF(ISBLANK('Список деталей'!H183),"",VLOOKUP('Список деталей'!H183,обозначениКромки,4,0))</f>
        <v/>
      </c>
      <c r="L175" s="25" t="str">
        <f>IF(ISBLANK('Список деталей'!I183),"",VLOOKUP('Список деталей'!I183,обозначениКромки,4,0))</f>
        <v/>
      </c>
      <c r="M175" s="24" t="str">
        <f>IF(ISBLANK('Список деталей'!Y183),"",('Список деталей'!Y183))</f>
        <v/>
      </c>
      <c r="N175" s="3" t="str">
        <f>IF(ISBLANK('Список деталей'!Z183),"",('Список деталей'!Z183))</f>
        <v/>
      </c>
      <c r="O175" s="3" t="str">
        <f>IF(ISBLANK('Список деталей'!AA183),"",('Список деталей'!AA183))</f>
        <v/>
      </c>
      <c r="P175" s="3" t="str">
        <f>IF(ISBLANK('Список деталей'!AB183),"",('Список деталей'!AB183))</f>
        <v/>
      </c>
      <c r="Q175" s="45">
        <f>VLOOKUP(IF(ISBLANK('Список деталей'!H183)=TRUE,7,'Список деталей'!H183),кромка,2,0)+VLOOKUP(IF(ISBLANK('Список деталей'!I183)=TRUE,7,'Список деталей'!I183),кромка,2,0)+'Список деталей'!C183</f>
        <v>0</v>
      </c>
      <c r="R175" s="45">
        <f>VLOOKUP(IF(ISBLANK('Список деталей'!F183)=TRUE,7,'Список деталей'!F183),кромка,2,0)+VLOOKUP(IF(ISBLANK('Список деталей'!G183)=TRUE,7,'Список деталей'!G183),кромка,2,0)+'Список деталей'!D183</f>
        <v>0</v>
      </c>
      <c r="S175" s="42">
        <f>IF('Список деталей'!H183="",0,1)+IF('Список деталей'!I183="",0,1)+'Список деталей'!C183</f>
        <v>0</v>
      </c>
      <c r="T175" s="42">
        <f>IF('Список деталей'!F183="",0,1)+IF('Список деталей'!G183="",0,1)+'Список деталей'!D183</f>
        <v>0</v>
      </c>
      <c r="U175" s="3" t="str">
        <f>IF(ISBLANK('Список деталей'!K183),"",'Список деталей'!K183)</f>
        <v/>
      </c>
      <c r="V175" s="3" t="str">
        <f>IF(AND('Список деталей'!C183&gt;849,'Список деталей'!D183&gt;849)=TRUE,1*'Список деталей'!E183,"")</f>
        <v/>
      </c>
    </row>
    <row r="176" spans="1:22" x14ac:dyDescent="0.45">
      <c r="A176" s="3">
        <f>IF(ISNUMBER('Список деталей'!A184), 'Список деталей'!A184, "")</f>
        <v>175</v>
      </c>
      <c r="B176" s="30" t="str">
        <f>IF(ISBLANK('Список деталей'!B184),"",'Список деталей'!B184)</f>
        <v/>
      </c>
      <c r="C176" s="3" t="str">
        <f>IF(ISNUMBER('Список деталей'!C184), $W$4,"")</f>
        <v/>
      </c>
      <c r="D176" s="3" t="str">
        <f>IF(ISNUMBER('Список деталей'!C184), 'Список деталей'!$I$4,"")</f>
        <v/>
      </c>
      <c r="E176" s="24" t="str">
        <f>IF(ISNUMBER('Список деталей'!E184), 'Список деталей'!E184, "")</f>
        <v/>
      </c>
      <c r="F176" s="24" t="str">
        <f>IF(ISNUMBER('Список деталей'!C184), 'Список деталей'!C184, "")</f>
        <v/>
      </c>
      <c r="G176" s="24" t="str">
        <f>IF(ISNUMBER('Список деталей'!D184), 'Список деталей'!D184, "")</f>
        <v/>
      </c>
      <c r="H176" s="3" t="str">
        <f t="shared" si="2"/>
        <v xml:space="preserve">    </v>
      </c>
      <c r="I176" s="3" t="str">
        <f>IF(ISBLANK('Список деталей'!F184),"",VLOOKUP('Список деталей'!F184,обозначениКромки,4,0))</f>
        <v/>
      </c>
      <c r="J176" s="25" t="str">
        <f>IF(ISBLANK('Список деталей'!G184),"",VLOOKUP('Список деталей'!G184,обозначениКромки,4,0))</f>
        <v/>
      </c>
      <c r="K176" s="25" t="str">
        <f>IF(ISBLANK('Список деталей'!H184),"",VLOOKUP('Список деталей'!H184,обозначениКромки,4,0))</f>
        <v/>
      </c>
      <c r="L176" s="25" t="str">
        <f>IF(ISBLANK('Список деталей'!I184),"",VLOOKUP('Список деталей'!I184,обозначениКромки,4,0))</f>
        <v/>
      </c>
      <c r="M176" s="24" t="str">
        <f>IF(ISBLANK('Список деталей'!Y184),"",('Список деталей'!Y184))</f>
        <v/>
      </c>
      <c r="N176" s="3" t="str">
        <f>IF(ISBLANK('Список деталей'!Z184),"",('Список деталей'!Z184))</f>
        <v/>
      </c>
      <c r="O176" s="3" t="str">
        <f>IF(ISBLANK('Список деталей'!AA184),"",('Список деталей'!AA184))</f>
        <v/>
      </c>
      <c r="P176" s="3" t="str">
        <f>IF(ISBLANK('Список деталей'!AB184),"",('Список деталей'!AB184))</f>
        <v/>
      </c>
      <c r="Q176" s="45">
        <f>VLOOKUP(IF(ISBLANK('Список деталей'!H184)=TRUE,7,'Список деталей'!H184),кромка,2,0)+VLOOKUP(IF(ISBLANK('Список деталей'!I184)=TRUE,7,'Список деталей'!I184),кромка,2,0)+'Список деталей'!C184</f>
        <v>0</v>
      </c>
      <c r="R176" s="45">
        <f>VLOOKUP(IF(ISBLANK('Список деталей'!F184)=TRUE,7,'Список деталей'!F184),кромка,2,0)+VLOOKUP(IF(ISBLANK('Список деталей'!G184)=TRUE,7,'Список деталей'!G184),кромка,2,0)+'Список деталей'!D184</f>
        <v>0</v>
      </c>
      <c r="S176" s="42">
        <f>IF('Список деталей'!H184="",0,1)+IF('Список деталей'!I184="",0,1)+'Список деталей'!C184</f>
        <v>0</v>
      </c>
      <c r="T176" s="42">
        <f>IF('Список деталей'!F184="",0,1)+IF('Список деталей'!G184="",0,1)+'Список деталей'!D184</f>
        <v>0</v>
      </c>
      <c r="U176" s="3" t="str">
        <f>IF(ISBLANK('Список деталей'!K184),"",'Список деталей'!K184)</f>
        <v/>
      </c>
      <c r="V176" s="3" t="str">
        <f>IF(AND('Список деталей'!C184&gt;849,'Список деталей'!D184&gt;849)=TRUE,1*'Список деталей'!E184,"")</f>
        <v/>
      </c>
    </row>
    <row r="177" spans="1:22" x14ac:dyDescent="0.45">
      <c r="A177" s="3">
        <f>IF(ISNUMBER('Список деталей'!A185), 'Список деталей'!A185, "")</f>
        <v>176</v>
      </c>
      <c r="B177" s="30" t="str">
        <f>IF(ISBLANK('Список деталей'!B185),"",'Список деталей'!B185)</f>
        <v/>
      </c>
      <c r="C177" s="3" t="str">
        <f>IF(ISNUMBER('Список деталей'!C185), $W$4,"")</f>
        <v/>
      </c>
      <c r="D177" s="3" t="str">
        <f>IF(ISNUMBER('Список деталей'!C185), 'Список деталей'!$I$4,"")</f>
        <v/>
      </c>
      <c r="E177" s="24" t="str">
        <f>IF(ISNUMBER('Список деталей'!E185), 'Список деталей'!E185, "")</f>
        <v/>
      </c>
      <c r="F177" s="24" t="str">
        <f>IF(ISNUMBER('Список деталей'!C185), 'Список деталей'!C185, "")</f>
        <v/>
      </c>
      <c r="G177" s="24" t="str">
        <f>IF(ISNUMBER('Список деталей'!D185), 'Список деталей'!D185, "")</f>
        <v/>
      </c>
      <c r="H177" s="3" t="str">
        <f t="shared" si="2"/>
        <v xml:space="preserve">    </v>
      </c>
      <c r="I177" s="3" t="str">
        <f>IF(ISBLANK('Список деталей'!F185),"",VLOOKUP('Список деталей'!F185,обозначениКромки,4,0))</f>
        <v/>
      </c>
      <c r="J177" s="25" t="str">
        <f>IF(ISBLANK('Список деталей'!G185),"",VLOOKUP('Список деталей'!G185,обозначениКромки,4,0))</f>
        <v/>
      </c>
      <c r="K177" s="25" t="str">
        <f>IF(ISBLANK('Список деталей'!H185),"",VLOOKUP('Список деталей'!H185,обозначениКромки,4,0))</f>
        <v/>
      </c>
      <c r="L177" s="25" t="str">
        <f>IF(ISBLANK('Список деталей'!I185),"",VLOOKUP('Список деталей'!I185,обозначениКромки,4,0))</f>
        <v/>
      </c>
      <c r="M177" s="24" t="str">
        <f>IF(ISBLANK('Список деталей'!Y185),"",('Список деталей'!Y185))</f>
        <v/>
      </c>
      <c r="N177" s="3" t="str">
        <f>IF(ISBLANK('Список деталей'!Z185),"",('Список деталей'!Z185))</f>
        <v/>
      </c>
      <c r="O177" s="3" t="str">
        <f>IF(ISBLANK('Список деталей'!AA185),"",('Список деталей'!AA185))</f>
        <v/>
      </c>
      <c r="P177" s="3" t="str">
        <f>IF(ISBLANK('Список деталей'!AB185),"",('Список деталей'!AB185))</f>
        <v/>
      </c>
      <c r="Q177" s="45">
        <f>VLOOKUP(IF(ISBLANK('Список деталей'!H185)=TRUE,7,'Список деталей'!H185),кромка,2,0)+VLOOKUP(IF(ISBLANK('Список деталей'!I185)=TRUE,7,'Список деталей'!I185),кромка,2,0)+'Список деталей'!C185</f>
        <v>0</v>
      </c>
      <c r="R177" s="45">
        <f>VLOOKUP(IF(ISBLANK('Список деталей'!F185)=TRUE,7,'Список деталей'!F185),кромка,2,0)+VLOOKUP(IF(ISBLANK('Список деталей'!G185)=TRUE,7,'Список деталей'!G185),кромка,2,0)+'Список деталей'!D185</f>
        <v>0</v>
      </c>
      <c r="S177" s="42">
        <f>IF('Список деталей'!H185="",0,1)+IF('Список деталей'!I185="",0,1)+'Список деталей'!C185</f>
        <v>0</v>
      </c>
      <c r="T177" s="42">
        <f>IF('Список деталей'!F185="",0,1)+IF('Список деталей'!G185="",0,1)+'Список деталей'!D185</f>
        <v>0</v>
      </c>
      <c r="U177" s="3" t="str">
        <f>IF(ISBLANK('Список деталей'!K185),"",'Список деталей'!K185)</f>
        <v/>
      </c>
      <c r="V177" s="3" t="str">
        <f>IF(AND('Список деталей'!C185&gt;849,'Список деталей'!D185&gt;849)=TRUE,1*'Список деталей'!E185,"")</f>
        <v/>
      </c>
    </row>
    <row r="178" spans="1:22" x14ac:dyDescent="0.45">
      <c r="A178" s="3">
        <f>IF(ISNUMBER('Список деталей'!A186), 'Список деталей'!A186, "")</f>
        <v>177</v>
      </c>
      <c r="B178" s="30" t="str">
        <f>IF(ISBLANK('Список деталей'!B186),"",'Список деталей'!B186)</f>
        <v/>
      </c>
      <c r="C178" s="3" t="str">
        <f>IF(ISNUMBER('Список деталей'!C186), $W$4,"")</f>
        <v/>
      </c>
      <c r="D178" s="3" t="str">
        <f>IF(ISNUMBER('Список деталей'!C186), 'Список деталей'!$I$4,"")</f>
        <v/>
      </c>
      <c r="E178" s="24" t="str">
        <f>IF(ISNUMBER('Список деталей'!E186), 'Список деталей'!E186, "")</f>
        <v/>
      </c>
      <c r="F178" s="24" t="str">
        <f>IF(ISNUMBER('Список деталей'!C186), 'Список деталей'!C186, "")</f>
        <v/>
      </c>
      <c r="G178" s="24" t="str">
        <f>IF(ISNUMBER('Список деталей'!D186), 'Список деталей'!D186, "")</f>
        <v/>
      </c>
      <c r="H178" s="3" t="str">
        <f t="shared" si="2"/>
        <v xml:space="preserve">    </v>
      </c>
      <c r="I178" s="3" t="str">
        <f>IF(ISBLANK('Список деталей'!F186),"",VLOOKUP('Список деталей'!F186,обозначениКромки,4,0))</f>
        <v/>
      </c>
      <c r="J178" s="25" t="str">
        <f>IF(ISBLANK('Список деталей'!G186),"",VLOOKUP('Список деталей'!G186,обозначениКромки,4,0))</f>
        <v/>
      </c>
      <c r="K178" s="25" t="str">
        <f>IF(ISBLANK('Список деталей'!H186),"",VLOOKUP('Список деталей'!H186,обозначениКромки,4,0))</f>
        <v/>
      </c>
      <c r="L178" s="25" t="str">
        <f>IF(ISBLANK('Список деталей'!I186),"",VLOOKUP('Список деталей'!I186,обозначениКромки,4,0))</f>
        <v/>
      </c>
      <c r="M178" s="24" t="str">
        <f>IF(ISBLANK('Список деталей'!Y186),"",('Список деталей'!Y186))</f>
        <v/>
      </c>
      <c r="N178" s="3" t="str">
        <f>IF(ISBLANK('Список деталей'!Z186),"",('Список деталей'!Z186))</f>
        <v/>
      </c>
      <c r="O178" s="3" t="str">
        <f>IF(ISBLANK('Список деталей'!AA186),"",('Список деталей'!AA186))</f>
        <v/>
      </c>
      <c r="P178" s="3" t="str">
        <f>IF(ISBLANK('Список деталей'!AB186),"",('Список деталей'!AB186))</f>
        <v/>
      </c>
      <c r="Q178" s="45">
        <f>VLOOKUP(IF(ISBLANK('Список деталей'!H186)=TRUE,7,'Список деталей'!H186),кромка,2,0)+VLOOKUP(IF(ISBLANK('Список деталей'!I186)=TRUE,7,'Список деталей'!I186),кромка,2,0)+'Список деталей'!C186</f>
        <v>0</v>
      </c>
      <c r="R178" s="45">
        <f>VLOOKUP(IF(ISBLANK('Список деталей'!F186)=TRUE,7,'Список деталей'!F186),кромка,2,0)+VLOOKUP(IF(ISBLANK('Список деталей'!G186)=TRUE,7,'Список деталей'!G186),кромка,2,0)+'Список деталей'!D186</f>
        <v>0</v>
      </c>
      <c r="S178" s="42">
        <f>IF('Список деталей'!H186="",0,1)+IF('Список деталей'!I186="",0,1)+'Список деталей'!C186</f>
        <v>0</v>
      </c>
      <c r="T178" s="42">
        <f>IF('Список деталей'!F186="",0,1)+IF('Список деталей'!G186="",0,1)+'Список деталей'!D186</f>
        <v>0</v>
      </c>
      <c r="U178" s="3" t="str">
        <f>IF(ISBLANK('Список деталей'!K186),"",'Список деталей'!K186)</f>
        <v/>
      </c>
      <c r="V178" s="3" t="str">
        <f>IF(AND('Список деталей'!C186&gt;849,'Список деталей'!D186&gt;849)=TRUE,1*'Список деталей'!E186,"")</f>
        <v/>
      </c>
    </row>
    <row r="179" spans="1:22" x14ac:dyDescent="0.45">
      <c r="A179" s="3">
        <f>IF(ISNUMBER('Список деталей'!A187), 'Список деталей'!A187, "")</f>
        <v>178</v>
      </c>
      <c r="B179" s="30" t="str">
        <f>IF(ISBLANK('Список деталей'!B187),"",'Список деталей'!B187)</f>
        <v/>
      </c>
      <c r="C179" s="3" t="str">
        <f>IF(ISNUMBER('Список деталей'!C187), $W$4,"")</f>
        <v/>
      </c>
      <c r="D179" s="3" t="str">
        <f>IF(ISNUMBER('Список деталей'!C187), 'Список деталей'!$I$4,"")</f>
        <v/>
      </c>
      <c r="E179" s="24" t="str">
        <f>IF(ISNUMBER('Список деталей'!E187), 'Список деталей'!E187, "")</f>
        <v/>
      </c>
      <c r="F179" s="24" t="str">
        <f>IF(ISNUMBER('Список деталей'!C187), 'Список деталей'!C187, "")</f>
        <v/>
      </c>
      <c r="G179" s="24" t="str">
        <f>IF(ISNUMBER('Список деталей'!D187), 'Список деталей'!D187, "")</f>
        <v/>
      </c>
      <c r="H179" s="3" t="str">
        <f t="shared" si="2"/>
        <v xml:space="preserve">    </v>
      </c>
      <c r="I179" s="3" t="str">
        <f>IF(ISBLANK('Список деталей'!F187),"",VLOOKUP('Список деталей'!F187,обозначениКромки,4,0))</f>
        <v/>
      </c>
      <c r="J179" s="25" t="str">
        <f>IF(ISBLANK('Список деталей'!G187),"",VLOOKUP('Список деталей'!G187,обозначениКромки,4,0))</f>
        <v/>
      </c>
      <c r="K179" s="25" t="str">
        <f>IF(ISBLANK('Список деталей'!H187),"",VLOOKUP('Список деталей'!H187,обозначениКромки,4,0))</f>
        <v/>
      </c>
      <c r="L179" s="25" t="str">
        <f>IF(ISBLANK('Список деталей'!I187),"",VLOOKUP('Список деталей'!I187,обозначениКромки,4,0))</f>
        <v/>
      </c>
      <c r="M179" s="24" t="str">
        <f>IF(ISBLANK('Список деталей'!Y187),"",('Список деталей'!Y187))</f>
        <v/>
      </c>
      <c r="N179" s="3" t="str">
        <f>IF(ISBLANK('Список деталей'!Z187),"",('Список деталей'!Z187))</f>
        <v/>
      </c>
      <c r="O179" s="3" t="str">
        <f>IF(ISBLANK('Список деталей'!AA187),"",('Список деталей'!AA187))</f>
        <v/>
      </c>
      <c r="P179" s="3" t="str">
        <f>IF(ISBLANK('Список деталей'!AB187),"",('Список деталей'!AB187))</f>
        <v/>
      </c>
      <c r="Q179" s="45">
        <f>VLOOKUP(IF(ISBLANK('Список деталей'!H187)=TRUE,7,'Список деталей'!H187),кромка,2,0)+VLOOKUP(IF(ISBLANK('Список деталей'!I187)=TRUE,7,'Список деталей'!I187),кромка,2,0)+'Список деталей'!C187</f>
        <v>0</v>
      </c>
      <c r="R179" s="45">
        <f>VLOOKUP(IF(ISBLANK('Список деталей'!F187)=TRUE,7,'Список деталей'!F187),кромка,2,0)+VLOOKUP(IF(ISBLANK('Список деталей'!G187)=TRUE,7,'Список деталей'!G187),кромка,2,0)+'Список деталей'!D187</f>
        <v>0</v>
      </c>
      <c r="S179" s="42">
        <f>IF('Список деталей'!H187="",0,1)+IF('Список деталей'!I187="",0,1)+'Список деталей'!C187</f>
        <v>0</v>
      </c>
      <c r="T179" s="42">
        <f>IF('Список деталей'!F187="",0,1)+IF('Список деталей'!G187="",0,1)+'Список деталей'!D187</f>
        <v>0</v>
      </c>
      <c r="U179" s="3" t="str">
        <f>IF(ISBLANK('Список деталей'!K187),"",'Список деталей'!K187)</f>
        <v/>
      </c>
      <c r="V179" s="3" t="str">
        <f>IF(AND('Список деталей'!C187&gt;849,'Список деталей'!D187&gt;849)=TRUE,1*'Список деталей'!E187,"")</f>
        <v/>
      </c>
    </row>
    <row r="180" spans="1:22" x14ac:dyDescent="0.45">
      <c r="A180" s="3">
        <f>IF(ISNUMBER('Список деталей'!A188), 'Список деталей'!A188, "")</f>
        <v>179</v>
      </c>
      <c r="B180" s="30" t="str">
        <f>IF(ISBLANK('Список деталей'!B188),"",'Список деталей'!B188)</f>
        <v/>
      </c>
      <c r="C180" s="3" t="str">
        <f>IF(ISNUMBER('Список деталей'!C188), $W$4,"")</f>
        <v/>
      </c>
      <c r="D180" s="3" t="str">
        <f>IF(ISNUMBER('Список деталей'!C188), 'Список деталей'!$I$4,"")</f>
        <v/>
      </c>
      <c r="E180" s="24" t="str">
        <f>IF(ISNUMBER('Список деталей'!E188), 'Список деталей'!E188, "")</f>
        <v/>
      </c>
      <c r="F180" s="24" t="str">
        <f>IF(ISNUMBER('Список деталей'!C188), 'Список деталей'!C188, "")</f>
        <v/>
      </c>
      <c r="G180" s="24" t="str">
        <f>IF(ISNUMBER('Список деталей'!D188), 'Список деталей'!D188, "")</f>
        <v/>
      </c>
      <c r="H180" s="3" t="str">
        <f t="shared" si="2"/>
        <v xml:space="preserve">    </v>
      </c>
      <c r="I180" s="3" t="str">
        <f>IF(ISBLANK('Список деталей'!F188),"",VLOOKUP('Список деталей'!F188,обозначениКромки,4,0))</f>
        <v/>
      </c>
      <c r="J180" s="25" t="str">
        <f>IF(ISBLANK('Список деталей'!G188),"",VLOOKUP('Список деталей'!G188,обозначениКромки,4,0))</f>
        <v/>
      </c>
      <c r="K180" s="25" t="str">
        <f>IF(ISBLANK('Список деталей'!H188),"",VLOOKUP('Список деталей'!H188,обозначениКромки,4,0))</f>
        <v/>
      </c>
      <c r="L180" s="25" t="str">
        <f>IF(ISBLANK('Список деталей'!I188),"",VLOOKUP('Список деталей'!I188,обозначениКромки,4,0))</f>
        <v/>
      </c>
      <c r="M180" s="24" t="str">
        <f>IF(ISBLANK('Список деталей'!Y188),"",('Список деталей'!Y188))</f>
        <v/>
      </c>
      <c r="N180" s="3" t="str">
        <f>IF(ISBLANK('Список деталей'!Z188),"",('Список деталей'!Z188))</f>
        <v/>
      </c>
      <c r="O180" s="3" t="str">
        <f>IF(ISBLANK('Список деталей'!AA188),"",('Список деталей'!AA188))</f>
        <v/>
      </c>
      <c r="P180" s="3" t="str">
        <f>IF(ISBLANK('Список деталей'!AB188),"",('Список деталей'!AB188))</f>
        <v/>
      </c>
      <c r="Q180" s="45">
        <f>VLOOKUP(IF(ISBLANK('Список деталей'!H188)=TRUE,7,'Список деталей'!H188),кромка,2,0)+VLOOKUP(IF(ISBLANK('Список деталей'!I188)=TRUE,7,'Список деталей'!I188),кромка,2,0)+'Список деталей'!C188</f>
        <v>0</v>
      </c>
      <c r="R180" s="45">
        <f>VLOOKUP(IF(ISBLANK('Список деталей'!F188)=TRUE,7,'Список деталей'!F188),кромка,2,0)+VLOOKUP(IF(ISBLANK('Список деталей'!G188)=TRUE,7,'Список деталей'!G188),кромка,2,0)+'Список деталей'!D188</f>
        <v>0</v>
      </c>
      <c r="S180" s="42">
        <f>IF('Список деталей'!H188="",0,1)+IF('Список деталей'!I188="",0,1)+'Список деталей'!C188</f>
        <v>0</v>
      </c>
      <c r="T180" s="42">
        <f>IF('Список деталей'!F188="",0,1)+IF('Список деталей'!G188="",0,1)+'Список деталей'!D188</f>
        <v>0</v>
      </c>
      <c r="U180" s="3" t="str">
        <f>IF(ISBLANK('Список деталей'!K188),"",'Список деталей'!K188)</f>
        <v/>
      </c>
      <c r="V180" s="3" t="str">
        <f>IF(AND('Список деталей'!C188&gt;849,'Список деталей'!D188&gt;849)=TRUE,1*'Список деталей'!E188,"")</f>
        <v/>
      </c>
    </row>
    <row r="181" spans="1:22" x14ac:dyDescent="0.45">
      <c r="A181" s="3">
        <f>IF(ISNUMBER('Список деталей'!A189), 'Список деталей'!A189, "")</f>
        <v>180</v>
      </c>
      <c r="B181" s="30" t="str">
        <f>IF(ISBLANK('Список деталей'!B189),"",'Список деталей'!B189)</f>
        <v/>
      </c>
      <c r="C181" s="3" t="str">
        <f>IF(ISNUMBER('Список деталей'!C189), $W$4,"")</f>
        <v/>
      </c>
      <c r="D181" s="3" t="str">
        <f>IF(ISNUMBER('Список деталей'!C189), 'Список деталей'!$I$4,"")</f>
        <v/>
      </c>
      <c r="E181" s="24" t="str">
        <f>IF(ISNUMBER('Список деталей'!E189), 'Список деталей'!E189, "")</f>
        <v/>
      </c>
      <c r="F181" s="24" t="str">
        <f>IF(ISNUMBER('Список деталей'!C189), 'Список деталей'!C189, "")</f>
        <v/>
      </c>
      <c r="G181" s="24" t="str">
        <f>IF(ISNUMBER('Список деталей'!D189), 'Список деталей'!D189, "")</f>
        <v/>
      </c>
      <c r="H181" s="3" t="str">
        <f t="shared" si="2"/>
        <v xml:space="preserve">    </v>
      </c>
      <c r="I181" s="3" t="str">
        <f>IF(ISBLANK('Список деталей'!F189),"",VLOOKUP('Список деталей'!F189,обозначениКромки,4,0))</f>
        <v/>
      </c>
      <c r="J181" s="25" t="str">
        <f>IF(ISBLANK('Список деталей'!G189),"",VLOOKUP('Список деталей'!G189,обозначениКромки,4,0))</f>
        <v/>
      </c>
      <c r="K181" s="25" t="str">
        <f>IF(ISBLANK('Список деталей'!H189),"",VLOOKUP('Список деталей'!H189,обозначениКромки,4,0))</f>
        <v/>
      </c>
      <c r="L181" s="25" t="str">
        <f>IF(ISBLANK('Список деталей'!I189),"",VLOOKUP('Список деталей'!I189,обозначениКромки,4,0))</f>
        <v/>
      </c>
      <c r="M181" s="24" t="str">
        <f>IF(ISBLANK('Список деталей'!Y189),"",('Список деталей'!Y189))</f>
        <v/>
      </c>
      <c r="N181" s="3" t="str">
        <f>IF(ISBLANK('Список деталей'!Z189),"",('Список деталей'!Z189))</f>
        <v/>
      </c>
      <c r="O181" s="3" t="str">
        <f>IF(ISBLANK('Список деталей'!AA189),"",('Список деталей'!AA189))</f>
        <v/>
      </c>
      <c r="P181" s="3" t="str">
        <f>IF(ISBLANK('Список деталей'!AB189),"",('Список деталей'!AB189))</f>
        <v/>
      </c>
      <c r="Q181" s="45">
        <f>VLOOKUP(IF(ISBLANK('Список деталей'!H189)=TRUE,7,'Список деталей'!H189),кромка,2,0)+VLOOKUP(IF(ISBLANK('Список деталей'!I189)=TRUE,7,'Список деталей'!I189),кромка,2,0)+'Список деталей'!C189</f>
        <v>0</v>
      </c>
      <c r="R181" s="45">
        <f>VLOOKUP(IF(ISBLANK('Список деталей'!F189)=TRUE,7,'Список деталей'!F189),кромка,2,0)+VLOOKUP(IF(ISBLANK('Список деталей'!G189)=TRUE,7,'Список деталей'!G189),кромка,2,0)+'Список деталей'!D189</f>
        <v>0</v>
      </c>
      <c r="S181" s="42">
        <f>IF('Список деталей'!H189="",0,1)+IF('Список деталей'!I189="",0,1)+'Список деталей'!C189</f>
        <v>0</v>
      </c>
      <c r="T181" s="42">
        <f>IF('Список деталей'!F189="",0,1)+IF('Список деталей'!G189="",0,1)+'Список деталей'!D189</f>
        <v>0</v>
      </c>
      <c r="U181" s="3" t="str">
        <f>IF(ISBLANK('Список деталей'!K189),"",'Список деталей'!K189)</f>
        <v/>
      </c>
      <c r="V181" s="3" t="str">
        <f>IF(AND('Список деталей'!C189&gt;849,'Список деталей'!D189&gt;849)=TRUE,1*'Список деталей'!E189,"")</f>
        <v/>
      </c>
    </row>
    <row r="182" spans="1:22" x14ac:dyDescent="0.45">
      <c r="A182" s="3">
        <f>IF(ISNUMBER('Список деталей'!A190), 'Список деталей'!A190, "")</f>
        <v>181</v>
      </c>
      <c r="B182" s="30" t="str">
        <f>IF(ISBLANK('Список деталей'!B190),"",'Список деталей'!B190)</f>
        <v/>
      </c>
      <c r="C182" s="3" t="str">
        <f>IF(ISNUMBER('Список деталей'!C190), $W$4,"")</f>
        <v/>
      </c>
      <c r="D182" s="3" t="str">
        <f>IF(ISNUMBER('Список деталей'!C190), 'Список деталей'!$I$4,"")</f>
        <v/>
      </c>
      <c r="E182" s="24" t="str">
        <f>IF(ISNUMBER('Список деталей'!E190), 'Список деталей'!E190, "")</f>
        <v/>
      </c>
      <c r="F182" s="24" t="str">
        <f>IF(ISNUMBER('Список деталей'!C190), 'Список деталей'!C190, "")</f>
        <v/>
      </c>
      <c r="G182" s="24" t="str">
        <f>IF(ISNUMBER('Список деталей'!D190), 'Список деталей'!D190, "")</f>
        <v/>
      </c>
      <c r="H182" s="3" t="str">
        <f t="shared" si="2"/>
        <v xml:space="preserve">    </v>
      </c>
      <c r="I182" s="3" t="str">
        <f>IF(ISBLANK('Список деталей'!F190),"",VLOOKUP('Список деталей'!F190,обозначениКромки,4,0))</f>
        <v/>
      </c>
      <c r="J182" s="25" t="str">
        <f>IF(ISBLANK('Список деталей'!G190),"",VLOOKUP('Список деталей'!G190,обозначениКромки,4,0))</f>
        <v/>
      </c>
      <c r="K182" s="25" t="str">
        <f>IF(ISBLANK('Список деталей'!H190),"",VLOOKUP('Список деталей'!H190,обозначениКромки,4,0))</f>
        <v/>
      </c>
      <c r="L182" s="25" t="str">
        <f>IF(ISBLANK('Список деталей'!I190),"",VLOOKUP('Список деталей'!I190,обозначениКромки,4,0))</f>
        <v/>
      </c>
      <c r="M182" s="24" t="str">
        <f>IF(ISBLANK('Список деталей'!Y190),"",('Список деталей'!Y190))</f>
        <v/>
      </c>
      <c r="N182" s="3" t="str">
        <f>IF(ISBLANK('Список деталей'!Z190),"",('Список деталей'!Z190))</f>
        <v/>
      </c>
      <c r="O182" s="3" t="str">
        <f>IF(ISBLANK('Список деталей'!AA190),"",('Список деталей'!AA190))</f>
        <v/>
      </c>
      <c r="P182" s="3" t="str">
        <f>IF(ISBLANK('Список деталей'!AB190),"",('Список деталей'!AB190))</f>
        <v/>
      </c>
      <c r="Q182" s="45">
        <f>VLOOKUP(IF(ISBLANK('Список деталей'!H190)=TRUE,7,'Список деталей'!H190),кромка,2,0)+VLOOKUP(IF(ISBLANK('Список деталей'!I190)=TRUE,7,'Список деталей'!I190),кромка,2,0)+'Список деталей'!C190</f>
        <v>0</v>
      </c>
      <c r="R182" s="45">
        <f>VLOOKUP(IF(ISBLANK('Список деталей'!F190)=TRUE,7,'Список деталей'!F190),кромка,2,0)+VLOOKUP(IF(ISBLANK('Список деталей'!G190)=TRUE,7,'Список деталей'!G190),кромка,2,0)+'Список деталей'!D190</f>
        <v>0</v>
      </c>
      <c r="S182" s="42">
        <f>IF('Список деталей'!H190="",0,1)+IF('Список деталей'!I190="",0,1)+'Список деталей'!C190</f>
        <v>0</v>
      </c>
      <c r="T182" s="42">
        <f>IF('Список деталей'!F190="",0,1)+IF('Список деталей'!G190="",0,1)+'Список деталей'!D190</f>
        <v>0</v>
      </c>
      <c r="U182" s="3" t="str">
        <f>IF(ISBLANK('Список деталей'!K190),"",'Список деталей'!K190)</f>
        <v/>
      </c>
      <c r="V182" s="3" t="str">
        <f>IF(AND('Список деталей'!C190&gt;849,'Список деталей'!D190&gt;849)=TRUE,1*'Список деталей'!E190,"")</f>
        <v/>
      </c>
    </row>
    <row r="183" spans="1:22" x14ac:dyDescent="0.45">
      <c r="A183" s="3">
        <f>IF(ISNUMBER('Список деталей'!A191), 'Список деталей'!A191, "")</f>
        <v>182</v>
      </c>
      <c r="B183" s="30" t="str">
        <f>IF(ISBLANK('Список деталей'!B191),"",'Список деталей'!B191)</f>
        <v/>
      </c>
      <c r="C183" s="3" t="str">
        <f>IF(ISNUMBER('Список деталей'!C191), $W$4,"")</f>
        <v/>
      </c>
      <c r="D183" s="3" t="str">
        <f>IF(ISNUMBER('Список деталей'!C191), 'Список деталей'!$I$4,"")</f>
        <v/>
      </c>
      <c r="E183" s="24" t="str">
        <f>IF(ISNUMBER('Список деталей'!E191), 'Список деталей'!E191, "")</f>
        <v/>
      </c>
      <c r="F183" s="24" t="str">
        <f>IF(ISNUMBER('Список деталей'!C191), 'Список деталей'!C191, "")</f>
        <v/>
      </c>
      <c r="G183" s="24" t="str">
        <f>IF(ISNUMBER('Список деталей'!D191), 'Список деталей'!D191, "")</f>
        <v/>
      </c>
      <c r="H183" s="3" t="str">
        <f t="shared" si="2"/>
        <v xml:space="preserve">    </v>
      </c>
      <c r="I183" s="3" t="str">
        <f>IF(ISBLANK('Список деталей'!F191),"",VLOOKUP('Список деталей'!F191,обозначениКромки,4,0))</f>
        <v/>
      </c>
      <c r="J183" s="25" t="str">
        <f>IF(ISBLANK('Список деталей'!G191),"",VLOOKUP('Список деталей'!G191,обозначениКромки,4,0))</f>
        <v/>
      </c>
      <c r="K183" s="25" t="str">
        <f>IF(ISBLANK('Список деталей'!H191),"",VLOOKUP('Список деталей'!H191,обозначениКромки,4,0))</f>
        <v/>
      </c>
      <c r="L183" s="25" t="str">
        <f>IF(ISBLANK('Список деталей'!I191),"",VLOOKUP('Список деталей'!I191,обозначениКромки,4,0))</f>
        <v/>
      </c>
      <c r="M183" s="24" t="str">
        <f>IF(ISBLANK('Список деталей'!Y191),"",('Список деталей'!Y191))</f>
        <v/>
      </c>
      <c r="N183" s="3" t="str">
        <f>IF(ISBLANK('Список деталей'!Z191),"",('Список деталей'!Z191))</f>
        <v/>
      </c>
      <c r="O183" s="3" t="str">
        <f>IF(ISBLANK('Список деталей'!AA191),"",('Список деталей'!AA191))</f>
        <v/>
      </c>
      <c r="P183" s="3" t="str">
        <f>IF(ISBLANK('Список деталей'!AB191),"",('Список деталей'!AB191))</f>
        <v/>
      </c>
      <c r="Q183" s="45">
        <f>VLOOKUP(IF(ISBLANK('Список деталей'!H191)=TRUE,7,'Список деталей'!H191),кромка,2,0)+VLOOKUP(IF(ISBLANK('Список деталей'!I191)=TRUE,7,'Список деталей'!I191),кромка,2,0)+'Список деталей'!C191</f>
        <v>0</v>
      </c>
      <c r="R183" s="45">
        <f>VLOOKUP(IF(ISBLANK('Список деталей'!F191)=TRUE,7,'Список деталей'!F191),кромка,2,0)+VLOOKUP(IF(ISBLANK('Список деталей'!G191)=TRUE,7,'Список деталей'!G191),кромка,2,0)+'Список деталей'!D191</f>
        <v>0</v>
      </c>
      <c r="S183" s="42">
        <f>IF('Список деталей'!H191="",0,1)+IF('Список деталей'!I191="",0,1)+'Список деталей'!C191</f>
        <v>0</v>
      </c>
      <c r="T183" s="42">
        <f>IF('Список деталей'!F191="",0,1)+IF('Список деталей'!G191="",0,1)+'Список деталей'!D191</f>
        <v>0</v>
      </c>
      <c r="U183" s="3" t="str">
        <f>IF(ISBLANK('Список деталей'!K191),"",'Список деталей'!K191)</f>
        <v/>
      </c>
      <c r="V183" s="3" t="str">
        <f>IF(AND('Список деталей'!C191&gt;849,'Список деталей'!D191&gt;849)=TRUE,1*'Список деталей'!E191,"")</f>
        <v/>
      </c>
    </row>
    <row r="184" spans="1:22" x14ac:dyDescent="0.45">
      <c r="A184" s="3">
        <f>IF(ISNUMBER('Список деталей'!A192), 'Список деталей'!A192, "")</f>
        <v>183</v>
      </c>
      <c r="B184" s="30" t="str">
        <f>IF(ISBLANK('Список деталей'!B192),"",'Список деталей'!B192)</f>
        <v/>
      </c>
      <c r="C184" s="3" t="str">
        <f>IF(ISNUMBER('Список деталей'!C192), $W$4,"")</f>
        <v/>
      </c>
      <c r="D184" s="3" t="str">
        <f>IF(ISNUMBER('Список деталей'!C192), 'Список деталей'!$I$4,"")</f>
        <v/>
      </c>
      <c r="E184" s="24" t="str">
        <f>IF(ISNUMBER('Список деталей'!E192), 'Список деталей'!E192, "")</f>
        <v/>
      </c>
      <c r="F184" s="24" t="str">
        <f>IF(ISNUMBER('Список деталей'!C192), 'Список деталей'!C192, "")</f>
        <v/>
      </c>
      <c r="G184" s="24" t="str">
        <f>IF(ISNUMBER('Список деталей'!D192), 'Список деталей'!D192, "")</f>
        <v/>
      </c>
      <c r="H184" s="3" t="str">
        <f t="shared" si="2"/>
        <v xml:space="preserve">    </v>
      </c>
      <c r="I184" s="3" t="str">
        <f>IF(ISBLANK('Список деталей'!F192),"",VLOOKUP('Список деталей'!F192,обозначениКромки,4,0))</f>
        <v/>
      </c>
      <c r="J184" s="25" t="str">
        <f>IF(ISBLANK('Список деталей'!G192),"",VLOOKUP('Список деталей'!G192,обозначениКромки,4,0))</f>
        <v/>
      </c>
      <c r="K184" s="25" t="str">
        <f>IF(ISBLANK('Список деталей'!H192),"",VLOOKUP('Список деталей'!H192,обозначениКромки,4,0))</f>
        <v/>
      </c>
      <c r="L184" s="25" t="str">
        <f>IF(ISBLANK('Список деталей'!I192),"",VLOOKUP('Список деталей'!I192,обозначениКромки,4,0))</f>
        <v/>
      </c>
      <c r="M184" s="24" t="str">
        <f>IF(ISBLANK('Список деталей'!Y192),"",('Список деталей'!Y192))</f>
        <v/>
      </c>
      <c r="N184" s="3" t="str">
        <f>IF(ISBLANK('Список деталей'!Z192),"",('Список деталей'!Z192))</f>
        <v/>
      </c>
      <c r="O184" s="3" t="str">
        <f>IF(ISBLANK('Список деталей'!AA192),"",('Список деталей'!AA192))</f>
        <v/>
      </c>
      <c r="P184" s="3" t="str">
        <f>IF(ISBLANK('Список деталей'!AB192),"",('Список деталей'!AB192))</f>
        <v/>
      </c>
      <c r="Q184" s="45">
        <f>VLOOKUP(IF(ISBLANK('Список деталей'!H192)=TRUE,7,'Список деталей'!H192),кромка,2,0)+VLOOKUP(IF(ISBLANK('Список деталей'!I192)=TRUE,7,'Список деталей'!I192),кромка,2,0)+'Список деталей'!C192</f>
        <v>0</v>
      </c>
      <c r="R184" s="45">
        <f>VLOOKUP(IF(ISBLANK('Список деталей'!F192)=TRUE,7,'Список деталей'!F192),кромка,2,0)+VLOOKUP(IF(ISBLANK('Список деталей'!G192)=TRUE,7,'Список деталей'!G192),кромка,2,0)+'Список деталей'!D192</f>
        <v>0</v>
      </c>
      <c r="S184" s="42">
        <f>IF('Список деталей'!H192="",0,1)+IF('Список деталей'!I192="",0,1)+'Список деталей'!C192</f>
        <v>0</v>
      </c>
      <c r="T184" s="42">
        <f>IF('Список деталей'!F192="",0,1)+IF('Список деталей'!G192="",0,1)+'Список деталей'!D192</f>
        <v>0</v>
      </c>
      <c r="U184" s="3" t="str">
        <f>IF(ISBLANK('Список деталей'!K192),"",'Список деталей'!K192)</f>
        <v/>
      </c>
      <c r="V184" s="3" t="str">
        <f>IF(AND('Список деталей'!C192&gt;849,'Список деталей'!D192&gt;849)=TRUE,1*'Список деталей'!E192,"")</f>
        <v/>
      </c>
    </row>
    <row r="185" spans="1:22" x14ac:dyDescent="0.45">
      <c r="A185" s="3">
        <f>IF(ISNUMBER('Список деталей'!A193), 'Список деталей'!A193, "")</f>
        <v>184</v>
      </c>
      <c r="B185" s="30" t="str">
        <f>IF(ISBLANK('Список деталей'!B193),"",'Список деталей'!B193)</f>
        <v/>
      </c>
      <c r="C185" s="3" t="str">
        <f>IF(ISNUMBER('Список деталей'!C193), $W$4,"")</f>
        <v/>
      </c>
      <c r="D185" s="3" t="str">
        <f>IF(ISNUMBER('Список деталей'!C193), 'Список деталей'!$I$4,"")</f>
        <v/>
      </c>
      <c r="E185" s="24" t="str">
        <f>IF(ISNUMBER('Список деталей'!E193), 'Список деталей'!E193, "")</f>
        <v/>
      </c>
      <c r="F185" s="24" t="str">
        <f>IF(ISNUMBER('Список деталей'!C193), 'Список деталей'!C193, "")</f>
        <v/>
      </c>
      <c r="G185" s="24" t="str">
        <f>IF(ISNUMBER('Список деталей'!D193), 'Список деталей'!D193, "")</f>
        <v/>
      </c>
      <c r="H185" s="3" t="str">
        <f t="shared" si="2"/>
        <v xml:space="preserve">    </v>
      </c>
      <c r="I185" s="3" t="str">
        <f>IF(ISBLANK('Список деталей'!F193),"",VLOOKUP('Список деталей'!F193,обозначениКромки,4,0))</f>
        <v/>
      </c>
      <c r="J185" s="25" t="str">
        <f>IF(ISBLANK('Список деталей'!G193),"",VLOOKUP('Список деталей'!G193,обозначениКромки,4,0))</f>
        <v/>
      </c>
      <c r="K185" s="25" t="str">
        <f>IF(ISBLANK('Список деталей'!H193),"",VLOOKUP('Список деталей'!H193,обозначениКромки,4,0))</f>
        <v/>
      </c>
      <c r="L185" s="25" t="str">
        <f>IF(ISBLANK('Список деталей'!I193),"",VLOOKUP('Список деталей'!I193,обозначениКромки,4,0))</f>
        <v/>
      </c>
      <c r="M185" s="24" t="str">
        <f>IF(ISBLANK('Список деталей'!Y193),"",('Список деталей'!Y193))</f>
        <v/>
      </c>
      <c r="N185" s="3" t="str">
        <f>IF(ISBLANK('Список деталей'!Z193),"",('Список деталей'!Z193))</f>
        <v/>
      </c>
      <c r="O185" s="3" t="str">
        <f>IF(ISBLANK('Список деталей'!AA193),"",('Список деталей'!AA193))</f>
        <v/>
      </c>
      <c r="P185" s="3" t="str">
        <f>IF(ISBLANK('Список деталей'!AB193),"",('Список деталей'!AB193))</f>
        <v/>
      </c>
      <c r="Q185" s="45">
        <f>VLOOKUP(IF(ISBLANK('Список деталей'!H193)=TRUE,7,'Список деталей'!H193),кромка,2,0)+VLOOKUP(IF(ISBLANK('Список деталей'!I193)=TRUE,7,'Список деталей'!I193),кромка,2,0)+'Список деталей'!C193</f>
        <v>0</v>
      </c>
      <c r="R185" s="45">
        <f>VLOOKUP(IF(ISBLANK('Список деталей'!F193)=TRUE,7,'Список деталей'!F193),кромка,2,0)+VLOOKUP(IF(ISBLANK('Список деталей'!G193)=TRUE,7,'Список деталей'!G193),кромка,2,0)+'Список деталей'!D193</f>
        <v>0</v>
      </c>
      <c r="S185" s="42">
        <f>IF('Список деталей'!H193="",0,1)+IF('Список деталей'!I193="",0,1)+'Список деталей'!C193</f>
        <v>0</v>
      </c>
      <c r="T185" s="42">
        <f>IF('Список деталей'!F193="",0,1)+IF('Список деталей'!G193="",0,1)+'Список деталей'!D193</f>
        <v>0</v>
      </c>
      <c r="U185" s="3" t="str">
        <f>IF(ISBLANK('Список деталей'!K193),"",'Список деталей'!K193)</f>
        <v/>
      </c>
      <c r="V185" s="3" t="str">
        <f>IF(AND('Список деталей'!C193&gt;849,'Список деталей'!D193&gt;849)=TRUE,1*'Список деталей'!E193,"")</f>
        <v/>
      </c>
    </row>
    <row r="186" spans="1:22" x14ac:dyDescent="0.45">
      <c r="A186" s="3">
        <f>IF(ISNUMBER('Список деталей'!A194), 'Список деталей'!A194, "")</f>
        <v>185</v>
      </c>
      <c r="B186" s="30" t="str">
        <f>IF(ISBLANK('Список деталей'!B194),"",'Список деталей'!B194)</f>
        <v/>
      </c>
      <c r="C186" s="3" t="str">
        <f>IF(ISNUMBER('Список деталей'!C194), $W$4,"")</f>
        <v/>
      </c>
      <c r="D186" s="3" t="str">
        <f>IF(ISNUMBER('Список деталей'!C194), 'Список деталей'!$I$4,"")</f>
        <v/>
      </c>
      <c r="E186" s="24" t="str">
        <f>IF(ISNUMBER('Список деталей'!E194), 'Список деталей'!E194, "")</f>
        <v/>
      </c>
      <c r="F186" s="24" t="str">
        <f>IF(ISNUMBER('Список деталей'!C194), 'Список деталей'!C194, "")</f>
        <v/>
      </c>
      <c r="G186" s="24" t="str">
        <f>IF(ISNUMBER('Список деталей'!D194), 'Список деталей'!D194, "")</f>
        <v/>
      </c>
      <c r="H186" s="3" t="str">
        <f t="shared" si="2"/>
        <v xml:space="preserve">    </v>
      </c>
      <c r="I186" s="3" t="str">
        <f>IF(ISBLANK('Список деталей'!F194),"",VLOOKUP('Список деталей'!F194,обозначениКромки,4,0))</f>
        <v/>
      </c>
      <c r="J186" s="25" t="str">
        <f>IF(ISBLANK('Список деталей'!G194),"",VLOOKUP('Список деталей'!G194,обозначениКромки,4,0))</f>
        <v/>
      </c>
      <c r="K186" s="25" t="str">
        <f>IF(ISBLANK('Список деталей'!H194),"",VLOOKUP('Список деталей'!H194,обозначениКромки,4,0))</f>
        <v/>
      </c>
      <c r="L186" s="25" t="str">
        <f>IF(ISBLANK('Список деталей'!I194),"",VLOOKUP('Список деталей'!I194,обозначениКромки,4,0))</f>
        <v/>
      </c>
      <c r="M186" s="24" t="str">
        <f>IF(ISBLANK('Список деталей'!Y194),"",('Список деталей'!Y194))</f>
        <v/>
      </c>
      <c r="N186" s="3" t="str">
        <f>IF(ISBLANK('Список деталей'!Z194),"",('Список деталей'!Z194))</f>
        <v/>
      </c>
      <c r="O186" s="3" t="str">
        <f>IF(ISBLANK('Список деталей'!AA194),"",('Список деталей'!AA194))</f>
        <v/>
      </c>
      <c r="P186" s="3" t="str">
        <f>IF(ISBLANK('Список деталей'!AB194),"",('Список деталей'!AB194))</f>
        <v/>
      </c>
      <c r="Q186" s="45">
        <f>VLOOKUP(IF(ISBLANK('Список деталей'!H194)=TRUE,7,'Список деталей'!H194),кромка,2,0)+VLOOKUP(IF(ISBLANK('Список деталей'!I194)=TRUE,7,'Список деталей'!I194),кромка,2,0)+'Список деталей'!C194</f>
        <v>0</v>
      </c>
      <c r="R186" s="45">
        <f>VLOOKUP(IF(ISBLANK('Список деталей'!F194)=TRUE,7,'Список деталей'!F194),кромка,2,0)+VLOOKUP(IF(ISBLANK('Список деталей'!G194)=TRUE,7,'Список деталей'!G194),кромка,2,0)+'Список деталей'!D194</f>
        <v>0</v>
      </c>
      <c r="S186" s="42">
        <f>IF('Список деталей'!H194="",0,1)+IF('Список деталей'!I194="",0,1)+'Список деталей'!C194</f>
        <v>0</v>
      </c>
      <c r="T186" s="42">
        <f>IF('Список деталей'!F194="",0,1)+IF('Список деталей'!G194="",0,1)+'Список деталей'!D194</f>
        <v>0</v>
      </c>
      <c r="U186" s="3" t="str">
        <f>IF(ISBLANK('Список деталей'!K194),"",'Список деталей'!K194)</f>
        <v/>
      </c>
      <c r="V186" s="3" t="str">
        <f>IF(AND('Список деталей'!C194&gt;849,'Список деталей'!D194&gt;849)=TRUE,1*'Список деталей'!E194,"")</f>
        <v/>
      </c>
    </row>
    <row r="187" spans="1:22" x14ac:dyDescent="0.45">
      <c r="A187" s="3" t="str">
        <f>IF(ISNUMBER('Список деталей'!A195), 'Список деталей'!A195, "")</f>
        <v/>
      </c>
      <c r="B187" s="30" t="str">
        <f>IF(ISBLANK('Список деталей'!B195),"",'Список деталей'!B195)</f>
        <v/>
      </c>
      <c r="C187" s="3" t="str">
        <f>IF(ISNUMBER('Список деталей'!C195), $W$4,"")</f>
        <v/>
      </c>
      <c r="D187" s="3" t="str">
        <f>IF(ISNUMBER('Список деталей'!C195), 'Список деталей'!$I$4,"")</f>
        <v/>
      </c>
      <c r="E187" s="24" t="str">
        <f>IF(ISNUMBER('Список деталей'!E195), 'Список деталей'!E195, "")</f>
        <v/>
      </c>
      <c r="F187" s="24" t="str">
        <f>IF(ISNUMBER('Список деталей'!C195), 'Список деталей'!C195, "")</f>
        <v/>
      </c>
      <c r="G187" s="24" t="str">
        <f>IF(ISNUMBER('Список деталей'!D195), 'Список деталей'!D195, "")</f>
        <v/>
      </c>
      <c r="H187" s="3" t="str">
        <f t="shared" si="2"/>
        <v xml:space="preserve">    </v>
      </c>
      <c r="I187" s="3" t="str">
        <f>IF(ISBLANK('Список деталей'!F195),"",VLOOKUP('Список деталей'!F195,обозначениКромки,4,0))</f>
        <v/>
      </c>
      <c r="J187" s="25" t="str">
        <f>IF(ISBLANK('Список деталей'!G195),"",VLOOKUP('Список деталей'!G195,обозначениКромки,4,0))</f>
        <v/>
      </c>
      <c r="K187" s="25" t="str">
        <f>IF(ISBLANK('Список деталей'!H195),"",VLOOKUP('Список деталей'!H195,обозначениКромки,4,0))</f>
        <v/>
      </c>
      <c r="L187" s="25" t="str">
        <f>IF(ISBLANK('Список деталей'!I195),"",VLOOKUP('Список деталей'!I195,обозначениКромки,4,0))</f>
        <v/>
      </c>
      <c r="M187" s="24" t="str">
        <f>IF(ISBLANK('Список деталей'!Y195),"",('Список деталей'!Y195))</f>
        <v/>
      </c>
      <c r="N187" s="3" t="str">
        <f>IF(ISBLANK('Список деталей'!Z195),"",('Список деталей'!Z195))</f>
        <v/>
      </c>
      <c r="O187" s="3" t="str">
        <f>IF(ISBLANK('Список деталей'!AA195),"",('Список деталей'!AA195))</f>
        <v/>
      </c>
      <c r="P187" s="3" t="str">
        <f>IF(ISBLANK('Список деталей'!AB195),"",('Список деталей'!AB195))</f>
        <v/>
      </c>
      <c r="Q187" s="45">
        <f>VLOOKUP(IF(ISBLANK('Список деталей'!H195)=TRUE,7,'Список деталей'!H195),кромка,2,0)+VLOOKUP(IF(ISBLANK('Список деталей'!I195)=TRUE,7,'Список деталей'!I195),кромка,2,0)+'Список деталей'!C195</f>
        <v>0</v>
      </c>
      <c r="R187" s="45">
        <f>VLOOKUP(IF(ISBLANK('Список деталей'!F195)=TRUE,7,'Список деталей'!F195),кромка,2,0)+VLOOKUP(IF(ISBLANK('Список деталей'!G195)=TRUE,7,'Список деталей'!G195),кромка,2,0)+'Список деталей'!D195</f>
        <v>0</v>
      </c>
      <c r="S187" s="42">
        <f>IF('Список деталей'!H195="",0,1)+IF('Список деталей'!I195="",0,1)+'Список деталей'!C195</f>
        <v>0</v>
      </c>
      <c r="T187" s="42">
        <f>IF('Список деталей'!F195="",0,1)+IF('Список деталей'!G195="",0,1)+'Список деталей'!D195</f>
        <v>0</v>
      </c>
      <c r="U187" s="3" t="str">
        <f>IF(ISBLANK('Список деталей'!K195),"",'Список деталей'!K195)</f>
        <v/>
      </c>
      <c r="V187" s="3" t="str">
        <f>IF(AND('Список деталей'!C195&gt;849,'Список деталей'!D195&gt;849)=TRUE,1*'Список деталей'!E195,"")</f>
        <v/>
      </c>
    </row>
    <row r="188" spans="1:22" x14ac:dyDescent="0.45">
      <c r="A188" s="3" t="str">
        <f>IF(ISNUMBER('Список деталей'!A196), 'Список деталей'!A196, "")</f>
        <v/>
      </c>
      <c r="B188" s="30" t="str">
        <f>IF(ISBLANK('Список деталей'!B196),"",'Список деталей'!B196)</f>
        <v/>
      </c>
      <c r="C188" s="3" t="str">
        <f>IF(ISNUMBER('Список деталей'!C196), $W$4,"")</f>
        <v/>
      </c>
      <c r="D188" s="3" t="str">
        <f>IF(ISNUMBER('Список деталей'!C196), 'Список деталей'!$I$4,"")</f>
        <v/>
      </c>
      <c r="E188" s="24" t="str">
        <f>IF(ISNUMBER('Список деталей'!E196), 'Список деталей'!E196, "")</f>
        <v/>
      </c>
      <c r="F188" s="24" t="str">
        <f>IF(ISNUMBER('Список деталей'!C196), 'Список деталей'!C196, "")</f>
        <v/>
      </c>
      <c r="G188" s="24" t="str">
        <f>IF(ISNUMBER('Список деталей'!D196), 'Список деталей'!D196, "")</f>
        <v/>
      </c>
      <c r="H188" s="3" t="str">
        <f t="shared" si="2"/>
        <v xml:space="preserve">    </v>
      </c>
      <c r="I188" s="3" t="str">
        <f>IF(ISBLANK('Список деталей'!F196),"",VLOOKUP('Список деталей'!F196,обозначениКромки,4,0))</f>
        <v/>
      </c>
      <c r="J188" s="25" t="str">
        <f>IF(ISBLANK('Список деталей'!G196),"",VLOOKUP('Список деталей'!G196,обозначениКромки,4,0))</f>
        <v/>
      </c>
      <c r="K188" s="25" t="str">
        <f>IF(ISBLANK('Список деталей'!H196),"",VLOOKUP('Список деталей'!H196,обозначениКромки,4,0))</f>
        <v/>
      </c>
      <c r="L188" s="25" t="str">
        <f>IF(ISBLANK('Список деталей'!I196),"",VLOOKUP('Список деталей'!I196,обозначениКромки,4,0))</f>
        <v/>
      </c>
      <c r="M188" s="24" t="str">
        <f>IF(ISBLANK('Список деталей'!Y196),"",('Список деталей'!Y196))</f>
        <v/>
      </c>
      <c r="N188" s="3" t="str">
        <f>IF(ISBLANK('Список деталей'!Z196),"",('Список деталей'!Z196))</f>
        <v/>
      </c>
      <c r="O188" s="3" t="str">
        <f>IF(ISBLANK('Список деталей'!AA196),"",('Список деталей'!AA196))</f>
        <v/>
      </c>
      <c r="P188" s="3" t="str">
        <f>IF(ISBLANK('Список деталей'!AB196),"",('Список деталей'!AB196))</f>
        <v/>
      </c>
      <c r="Q188" s="45">
        <f>VLOOKUP(IF(ISBLANK('Список деталей'!H196)=TRUE,7,'Список деталей'!H196),кромка,2,0)+VLOOKUP(IF(ISBLANK('Список деталей'!I196)=TRUE,7,'Список деталей'!I196),кромка,2,0)+'Список деталей'!C196</f>
        <v>0</v>
      </c>
      <c r="R188" s="45">
        <f>VLOOKUP(IF(ISBLANK('Список деталей'!F196)=TRUE,7,'Список деталей'!F196),кромка,2,0)+VLOOKUP(IF(ISBLANK('Список деталей'!G196)=TRUE,7,'Список деталей'!G196),кромка,2,0)+'Список деталей'!D196</f>
        <v>0</v>
      </c>
      <c r="S188" s="42">
        <f>IF('Список деталей'!H196="",0,1)+IF('Список деталей'!I196="",0,1)+'Список деталей'!C196</f>
        <v>0</v>
      </c>
      <c r="T188" s="42">
        <f>IF('Список деталей'!F196="",0,1)+IF('Список деталей'!G196="",0,1)+'Список деталей'!D196</f>
        <v>0</v>
      </c>
      <c r="U188" s="3" t="str">
        <f>IF(ISBLANK('Список деталей'!K196),"",'Список деталей'!K196)</f>
        <v/>
      </c>
      <c r="V188" s="3" t="str">
        <f>IF(AND('Список деталей'!C196&gt;849,'Список деталей'!D196&gt;849)=TRUE,1*'Список деталей'!E196,"")</f>
        <v/>
      </c>
    </row>
    <row r="189" spans="1:22" x14ac:dyDescent="0.45">
      <c r="A189" s="3" t="str">
        <f>IF(ISNUMBER('Список деталей'!A197), 'Список деталей'!A197, "")</f>
        <v/>
      </c>
      <c r="B189" s="30" t="str">
        <f>IF(ISBLANK('Список деталей'!B197),"",'Список деталей'!B197)</f>
        <v/>
      </c>
      <c r="C189" s="3" t="str">
        <f>IF(ISNUMBER('Список деталей'!C197), $W$4,"")</f>
        <v/>
      </c>
      <c r="D189" s="3" t="str">
        <f>IF(ISNUMBER('Список деталей'!C197), 'Список деталей'!$I$4,"")</f>
        <v/>
      </c>
      <c r="E189" s="24" t="str">
        <f>IF(ISNUMBER('Список деталей'!E197), 'Список деталей'!E197, "")</f>
        <v/>
      </c>
      <c r="F189" s="24" t="str">
        <f>IF(ISNUMBER('Список деталей'!C197), 'Список деталей'!C197, "")</f>
        <v/>
      </c>
      <c r="G189" s="24" t="str">
        <f>IF(ISNUMBER('Список деталей'!D197), 'Список деталей'!D197, "")</f>
        <v/>
      </c>
      <c r="H189" s="3" t="str">
        <f t="shared" si="2"/>
        <v xml:space="preserve">    </v>
      </c>
      <c r="I189" s="3" t="str">
        <f>IF(ISBLANK('Список деталей'!F197),"",VLOOKUP('Список деталей'!F197,обозначениКромки,4,0))</f>
        <v/>
      </c>
      <c r="J189" s="25" t="str">
        <f>IF(ISBLANK('Список деталей'!G197),"",VLOOKUP('Список деталей'!G197,обозначениКромки,4,0))</f>
        <v/>
      </c>
      <c r="K189" s="25" t="str">
        <f>IF(ISBLANK('Список деталей'!H197),"",VLOOKUP('Список деталей'!H197,обозначениКромки,4,0))</f>
        <v/>
      </c>
      <c r="L189" s="25" t="str">
        <f>IF(ISBLANK('Список деталей'!I197),"",VLOOKUP('Список деталей'!I197,обозначениКромки,4,0))</f>
        <v/>
      </c>
      <c r="M189" s="24" t="str">
        <f>IF(ISBLANK('Список деталей'!Y197),"",('Список деталей'!Y197))</f>
        <v/>
      </c>
      <c r="N189" s="3" t="str">
        <f>IF(ISBLANK('Список деталей'!Z197),"",('Список деталей'!Z197))</f>
        <v/>
      </c>
      <c r="O189" s="3" t="str">
        <f>IF(ISBLANK('Список деталей'!AA197),"",('Список деталей'!AA197))</f>
        <v/>
      </c>
      <c r="P189" s="3" t="str">
        <f>IF(ISBLANK('Список деталей'!AB197),"",('Список деталей'!AB197))</f>
        <v/>
      </c>
      <c r="Q189" s="45">
        <f>VLOOKUP(IF(ISBLANK('Список деталей'!H197)=TRUE,7,'Список деталей'!H197),кромка,2,0)+VLOOKUP(IF(ISBLANK('Список деталей'!I197)=TRUE,7,'Список деталей'!I197),кромка,2,0)+'Список деталей'!C197</f>
        <v>0</v>
      </c>
      <c r="R189" s="45">
        <f>VLOOKUP(IF(ISBLANK('Список деталей'!F197)=TRUE,7,'Список деталей'!F197),кромка,2,0)+VLOOKUP(IF(ISBLANK('Список деталей'!G197)=TRUE,7,'Список деталей'!G197),кромка,2,0)+'Список деталей'!D197</f>
        <v>0</v>
      </c>
      <c r="S189" s="42">
        <f>IF('Список деталей'!H197="",0,1)+IF('Список деталей'!I197="",0,1)+'Список деталей'!C197</f>
        <v>0</v>
      </c>
      <c r="T189" s="42">
        <f>IF('Список деталей'!F197="",0,1)+IF('Список деталей'!G197="",0,1)+'Список деталей'!D197</f>
        <v>0</v>
      </c>
      <c r="U189" s="3" t="str">
        <f>IF(ISBLANK('Список деталей'!K197),"",'Список деталей'!K197)</f>
        <v/>
      </c>
      <c r="V189" s="3" t="str">
        <f>IF(AND('Список деталей'!C197&gt;849,'Список деталей'!D197&gt;849)=TRUE,1*'Список деталей'!E197,"")</f>
        <v/>
      </c>
    </row>
    <row r="190" spans="1:22" x14ac:dyDescent="0.45">
      <c r="A190" s="3" t="str">
        <f>IF(ISNUMBER('Список деталей'!A198), 'Список деталей'!A198, "")</f>
        <v/>
      </c>
      <c r="B190" s="30" t="str">
        <f>IF(ISBLANK('Список деталей'!B198),"",'Список деталей'!B198)</f>
        <v/>
      </c>
      <c r="C190" s="3" t="str">
        <f>IF(ISNUMBER('Список деталей'!C198), $W$4,"")</f>
        <v/>
      </c>
      <c r="D190" s="3" t="str">
        <f>IF(ISNUMBER('Список деталей'!C198), 'Список деталей'!$I$4,"")</f>
        <v/>
      </c>
      <c r="E190" s="24" t="str">
        <f>IF(ISNUMBER('Список деталей'!E198), 'Список деталей'!E198, "")</f>
        <v/>
      </c>
      <c r="F190" s="24" t="str">
        <f>IF(ISNUMBER('Список деталей'!C198), 'Список деталей'!C198, "")</f>
        <v/>
      </c>
      <c r="G190" s="24" t="str">
        <f>IF(ISNUMBER('Список деталей'!D198), 'Список деталей'!D198, "")</f>
        <v/>
      </c>
      <c r="H190" s="3" t="str">
        <f t="shared" si="2"/>
        <v xml:space="preserve">    </v>
      </c>
      <c r="I190" s="3" t="str">
        <f>IF(ISBLANK('Список деталей'!F198),"",VLOOKUP('Список деталей'!F198,обозначениКромки,4,0))</f>
        <v/>
      </c>
      <c r="J190" s="25" t="str">
        <f>IF(ISBLANK('Список деталей'!G198),"",VLOOKUP('Список деталей'!G198,обозначениКромки,4,0))</f>
        <v/>
      </c>
      <c r="K190" s="25" t="str">
        <f>IF(ISBLANK('Список деталей'!H198),"",VLOOKUP('Список деталей'!H198,обозначениКромки,4,0))</f>
        <v/>
      </c>
      <c r="L190" s="25" t="str">
        <f>IF(ISBLANK('Список деталей'!I198),"",VLOOKUP('Список деталей'!I198,обозначениКромки,4,0))</f>
        <v/>
      </c>
      <c r="M190" s="24" t="str">
        <f>IF(ISBLANK('Список деталей'!Y198),"",('Список деталей'!Y198))</f>
        <v/>
      </c>
      <c r="N190" s="3" t="str">
        <f>IF(ISBLANK('Список деталей'!Z198),"",('Список деталей'!Z198))</f>
        <v/>
      </c>
      <c r="O190" s="3" t="str">
        <f>IF(ISBLANK('Список деталей'!AA198),"",('Список деталей'!AA198))</f>
        <v/>
      </c>
      <c r="P190" s="3" t="str">
        <f>IF(ISBLANK('Список деталей'!AB198),"",('Список деталей'!AB198))</f>
        <v/>
      </c>
      <c r="Q190" s="45">
        <f>VLOOKUP(IF(ISBLANK('Список деталей'!H198)=TRUE,7,'Список деталей'!H198),кромка,2,0)+VLOOKUP(IF(ISBLANK('Список деталей'!I198)=TRUE,7,'Список деталей'!I198),кромка,2,0)+'Список деталей'!C198</f>
        <v>0</v>
      </c>
      <c r="R190" s="45">
        <f>VLOOKUP(IF(ISBLANK('Список деталей'!F198)=TRUE,7,'Список деталей'!F198),кромка,2,0)+VLOOKUP(IF(ISBLANK('Список деталей'!G198)=TRUE,7,'Список деталей'!G198),кромка,2,0)+'Список деталей'!D198</f>
        <v>0</v>
      </c>
      <c r="S190" s="42">
        <f>IF('Список деталей'!H198="",0,1)+IF('Список деталей'!I198="",0,1)+'Список деталей'!C198</f>
        <v>0</v>
      </c>
      <c r="T190" s="42">
        <f>IF('Список деталей'!F198="",0,1)+IF('Список деталей'!G198="",0,1)+'Список деталей'!D198</f>
        <v>0</v>
      </c>
      <c r="U190" s="3" t="str">
        <f>IF(ISBLANK('Список деталей'!K198),"",'Список деталей'!K198)</f>
        <v/>
      </c>
      <c r="V190" s="3" t="str">
        <f>IF(AND('Список деталей'!C198&gt;849,'Список деталей'!D198&gt;849)=TRUE,1*'Список деталей'!E198,"")</f>
        <v/>
      </c>
    </row>
    <row r="191" spans="1:22" x14ac:dyDescent="0.45">
      <c r="A191" s="3" t="str">
        <f>IF(ISNUMBER('Список деталей'!A199), 'Список деталей'!A199, "")</f>
        <v/>
      </c>
      <c r="B191" s="30" t="str">
        <f>IF(ISBLANK('Список деталей'!B199),"",'Список деталей'!B199)</f>
        <v/>
      </c>
      <c r="C191" s="3" t="str">
        <f>IF(ISNUMBER('Список деталей'!C199), $W$4,"")</f>
        <v/>
      </c>
      <c r="D191" s="3" t="str">
        <f>IF(ISNUMBER('Список деталей'!C199), 'Список деталей'!$I$4,"")</f>
        <v/>
      </c>
      <c r="E191" s="24" t="str">
        <f>IF(ISNUMBER('Список деталей'!E199), 'Список деталей'!E199, "")</f>
        <v/>
      </c>
      <c r="F191" s="24" t="str">
        <f>IF(ISNUMBER('Список деталей'!C199), 'Список деталей'!C199, "")</f>
        <v/>
      </c>
      <c r="G191" s="24" t="str">
        <f>IF(ISNUMBER('Список деталей'!D199), 'Список деталей'!D199, "")</f>
        <v/>
      </c>
      <c r="H191" s="3" t="str">
        <f t="shared" si="2"/>
        <v xml:space="preserve">    </v>
      </c>
      <c r="I191" s="3" t="str">
        <f>IF(ISBLANK('Список деталей'!F199),"",VLOOKUP('Список деталей'!F199,обозначениКромки,4,0))</f>
        <v/>
      </c>
      <c r="J191" s="25" t="str">
        <f>IF(ISBLANK('Список деталей'!G199),"",VLOOKUP('Список деталей'!G199,обозначениКромки,4,0))</f>
        <v/>
      </c>
      <c r="K191" s="25" t="str">
        <f>IF(ISBLANK('Список деталей'!H199),"",VLOOKUP('Список деталей'!H199,обозначениКромки,4,0))</f>
        <v/>
      </c>
      <c r="L191" s="25" t="str">
        <f>IF(ISBLANK('Список деталей'!I199),"",VLOOKUP('Список деталей'!I199,обозначениКромки,4,0))</f>
        <v/>
      </c>
      <c r="M191" s="24" t="str">
        <f>IF(ISBLANK('Список деталей'!Y199),"",('Список деталей'!Y199))</f>
        <v/>
      </c>
      <c r="N191" s="3" t="str">
        <f>IF(ISBLANK('Список деталей'!Z199),"",('Список деталей'!Z199))</f>
        <v/>
      </c>
      <c r="O191" s="3" t="str">
        <f>IF(ISBLANK('Список деталей'!AA199),"",('Список деталей'!AA199))</f>
        <v/>
      </c>
      <c r="P191" s="3" t="str">
        <f>IF(ISBLANK('Список деталей'!AB199),"",('Список деталей'!AB199))</f>
        <v/>
      </c>
      <c r="Q191" s="45">
        <f>VLOOKUP(IF(ISBLANK('Список деталей'!H199)=TRUE,7,'Список деталей'!H199),кромка,2,0)+VLOOKUP(IF(ISBLANK('Список деталей'!I199)=TRUE,7,'Список деталей'!I199),кромка,2,0)+'Список деталей'!C199</f>
        <v>0</v>
      </c>
      <c r="R191" s="45">
        <f>VLOOKUP(IF(ISBLANK('Список деталей'!F199)=TRUE,7,'Список деталей'!F199),кромка,2,0)+VLOOKUP(IF(ISBLANK('Список деталей'!G199)=TRUE,7,'Список деталей'!G199),кромка,2,0)+'Список деталей'!D199</f>
        <v>0</v>
      </c>
      <c r="S191" s="42">
        <f>IF('Список деталей'!H199="",0,1)+IF('Список деталей'!I199="",0,1)+'Список деталей'!C199</f>
        <v>0</v>
      </c>
      <c r="T191" s="42">
        <f>IF('Список деталей'!F199="",0,1)+IF('Список деталей'!G199="",0,1)+'Список деталей'!D199</f>
        <v>0</v>
      </c>
      <c r="U191" s="3" t="str">
        <f>IF(ISBLANK('Список деталей'!K199),"",'Список деталей'!K199)</f>
        <v/>
      </c>
      <c r="V191" s="3" t="str">
        <f>IF(AND('Список деталей'!C199&gt;849,'Список деталей'!D199&gt;849)=TRUE,1*'Список деталей'!E199,"")</f>
        <v/>
      </c>
    </row>
    <row r="192" spans="1:22" x14ac:dyDescent="0.45">
      <c r="A192" s="3" t="str">
        <f>IF(ISNUMBER('Список деталей'!A200), 'Список деталей'!A200, "")</f>
        <v/>
      </c>
      <c r="B192" s="30" t="str">
        <f>IF(ISBLANK('Список деталей'!B200),"",'Список деталей'!B200)</f>
        <v/>
      </c>
      <c r="C192" s="3" t="str">
        <f>IF(ISNUMBER('Список деталей'!C200), $W$4,"")</f>
        <v/>
      </c>
      <c r="D192" s="3" t="str">
        <f>IF(ISNUMBER('Список деталей'!C200), 'Список деталей'!$I$4,"")</f>
        <v/>
      </c>
      <c r="E192" s="24" t="str">
        <f>IF(ISNUMBER('Список деталей'!E200), 'Список деталей'!E200, "")</f>
        <v/>
      </c>
      <c r="F192" s="24" t="str">
        <f>IF(ISNUMBER('Список деталей'!C200), 'Список деталей'!C200, "")</f>
        <v/>
      </c>
      <c r="G192" s="24" t="str">
        <f>IF(ISNUMBER('Список деталей'!D200), 'Список деталей'!D200, "")</f>
        <v/>
      </c>
      <c r="H192" s="3" t="str">
        <f t="shared" si="2"/>
        <v xml:space="preserve">    </v>
      </c>
      <c r="I192" s="3" t="str">
        <f>IF(ISBLANK('Список деталей'!F200),"",VLOOKUP('Список деталей'!F200,обозначениКромки,4,0))</f>
        <v/>
      </c>
      <c r="J192" s="25" t="str">
        <f>IF(ISBLANK('Список деталей'!G200),"",VLOOKUP('Список деталей'!G200,обозначениКромки,4,0))</f>
        <v/>
      </c>
      <c r="K192" s="25" t="str">
        <f>IF(ISBLANK('Список деталей'!H200),"",VLOOKUP('Список деталей'!H200,обозначениКромки,4,0))</f>
        <v/>
      </c>
      <c r="L192" s="25" t="str">
        <f>IF(ISBLANK('Список деталей'!I200),"",VLOOKUP('Список деталей'!I200,обозначениКромки,4,0))</f>
        <v/>
      </c>
      <c r="M192" s="24" t="str">
        <f>IF(ISBLANK('Список деталей'!Y200),"",('Список деталей'!Y200))</f>
        <v/>
      </c>
      <c r="N192" s="3" t="str">
        <f>IF(ISBLANK('Список деталей'!Z200),"",('Список деталей'!Z200))</f>
        <v/>
      </c>
      <c r="O192" s="3" t="str">
        <f>IF(ISBLANK('Список деталей'!AA200),"",('Список деталей'!AA200))</f>
        <v/>
      </c>
      <c r="P192" s="3" t="str">
        <f>IF(ISBLANK('Список деталей'!AB200),"",('Список деталей'!AB200))</f>
        <v/>
      </c>
      <c r="Q192" s="45">
        <f>VLOOKUP(IF(ISBLANK('Список деталей'!H200)=TRUE,7,'Список деталей'!H200),кромка,2,0)+VLOOKUP(IF(ISBLANK('Список деталей'!I200)=TRUE,7,'Список деталей'!I200),кромка,2,0)+'Список деталей'!C200</f>
        <v>0</v>
      </c>
      <c r="R192" s="45">
        <f>VLOOKUP(IF(ISBLANK('Список деталей'!F200)=TRUE,7,'Список деталей'!F200),кромка,2,0)+VLOOKUP(IF(ISBLANK('Список деталей'!G200)=TRUE,7,'Список деталей'!G200),кромка,2,0)+'Список деталей'!D200</f>
        <v>0</v>
      </c>
      <c r="S192" s="42">
        <f>IF('Список деталей'!H200="",0,1)+IF('Список деталей'!I200="",0,1)+'Список деталей'!C200</f>
        <v>0</v>
      </c>
      <c r="T192" s="42">
        <f>IF('Список деталей'!F200="",0,1)+IF('Список деталей'!G200="",0,1)+'Список деталей'!D200</f>
        <v>0</v>
      </c>
      <c r="U192" s="3" t="str">
        <f>IF(ISBLANK('Список деталей'!K200),"",'Список деталей'!K200)</f>
        <v/>
      </c>
      <c r="V192" s="3" t="str">
        <f>IF(AND('Список деталей'!C200&gt;849,'Список деталей'!D200&gt;849)=TRUE,1*'Список деталей'!E200,"")</f>
        <v/>
      </c>
    </row>
    <row r="193" spans="1:22" x14ac:dyDescent="0.45">
      <c r="A193" s="3" t="str">
        <f>IF(ISNUMBER('Список деталей'!A201), 'Список деталей'!A201, "")</f>
        <v/>
      </c>
      <c r="B193" s="30" t="str">
        <f>IF(ISBLANK('Список деталей'!B201),"",'Список деталей'!B201)</f>
        <v/>
      </c>
      <c r="C193" s="3" t="str">
        <f>IF(ISNUMBER('Список деталей'!C201), $W$4,"")</f>
        <v/>
      </c>
      <c r="D193" s="3" t="str">
        <f>IF(ISNUMBER('Список деталей'!C201), 'Список деталей'!$I$4,"")</f>
        <v/>
      </c>
      <c r="E193" s="24" t="str">
        <f>IF(ISNUMBER('Список деталей'!E201), 'Список деталей'!E201, "")</f>
        <v/>
      </c>
      <c r="F193" s="24" t="str">
        <f>IF(ISNUMBER('Список деталей'!C201), 'Список деталей'!C201, "")</f>
        <v/>
      </c>
      <c r="G193" s="24" t="str">
        <f>IF(ISNUMBER('Список деталей'!D201), 'Список деталей'!D201, "")</f>
        <v/>
      </c>
      <c r="H193" s="3" t="str">
        <f t="shared" si="2"/>
        <v xml:space="preserve">    </v>
      </c>
      <c r="I193" s="3" t="str">
        <f>IF(ISBLANK('Список деталей'!F201),"",VLOOKUP('Список деталей'!F201,обозначениКромки,4,0))</f>
        <v/>
      </c>
      <c r="J193" s="25" t="str">
        <f>IF(ISBLANK('Список деталей'!G201),"",VLOOKUP('Список деталей'!G201,обозначениКромки,4,0))</f>
        <v/>
      </c>
      <c r="K193" s="25" t="str">
        <f>IF(ISBLANK('Список деталей'!H201),"",VLOOKUP('Список деталей'!H201,обозначениКромки,4,0))</f>
        <v/>
      </c>
      <c r="L193" s="25" t="str">
        <f>IF(ISBLANK('Список деталей'!I201),"",VLOOKUP('Список деталей'!I201,обозначениКромки,4,0))</f>
        <v/>
      </c>
      <c r="M193" s="24" t="str">
        <f>IF(ISBLANK('Список деталей'!Y201),"",('Список деталей'!Y201))</f>
        <v/>
      </c>
      <c r="N193" s="3" t="str">
        <f>IF(ISBLANK('Список деталей'!Z201),"",('Список деталей'!Z201))</f>
        <v/>
      </c>
      <c r="O193" s="3" t="str">
        <f>IF(ISBLANK('Список деталей'!AA201),"",('Список деталей'!AA201))</f>
        <v/>
      </c>
      <c r="P193" s="3" t="str">
        <f>IF(ISBLANK('Список деталей'!AB201),"",('Список деталей'!AB201))</f>
        <v/>
      </c>
      <c r="Q193" s="45">
        <f>VLOOKUP(IF(ISBLANK('Список деталей'!H201)=TRUE,7,'Список деталей'!H201),кромка,2,0)+VLOOKUP(IF(ISBLANK('Список деталей'!I201)=TRUE,7,'Список деталей'!I201),кромка,2,0)+'Список деталей'!C201</f>
        <v>0</v>
      </c>
      <c r="R193" s="45">
        <f>VLOOKUP(IF(ISBLANK('Список деталей'!F201)=TRUE,7,'Список деталей'!F201),кромка,2,0)+VLOOKUP(IF(ISBLANK('Список деталей'!G201)=TRUE,7,'Список деталей'!G201),кромка,2,0)+'Список деталей'!D201</f>
        <v>0</v>
      </c>
      <c r="S193" s="42">
        <f>IF('Список деталей'!H201="",0,1)+IF('Список деталей'!I201="",0,1)+'Список деталей'!C201</f>
        <v>0</v>
      </c>
      <c r="T193" s="42">
        <f>IF('Список деталей'!F201="",0,1)+IF('Список деталей'!G201="",0,1)+'Список деталей'!D201</f>
        <v>0</v>
      </c>
      <c r="U193" s="3" t="str">
        <f>IF(ISBLANK('Список деталей'!K201),"",'Список деталей'!K201)</f>
        <v/>
      </c>
      <c r="V193" s="3" t="str">
        <f>IF(AND('Список деталей'!C201&gt;849,'Список деталей'!D201&gt;849)=TRUE,1*'Список деталей'!E201,"")</f>
        <v/>
      </c>
    </row>
    <row r="194" spans="1:22" x14ac:dyDescent="0.45">
      <c r="A194" s="3" t="str">
        <f>IF(ISNUMBER('Список деталей'!A202), 'Список деталей'!A202, "")</f>
        <v/>
      </c>
      <c r="B194" s="30" t="str">
        <f>IF(ISBLANK('Список деталей'!B202),"",'Список деталей'!B202)</f>
        <v/>
      </c>
      <c r="C194" s="3" t="str">
        <f>IF(ISNUMBER('Список деталей'!C202), $W$4,"")</f>
        <v/>
      </c>
      <c r="D194" s="3" t="str">
        <f>IF(ISNUMBER('Список деталей'!C202), 'Список деталей'!$I$4,"")</f>
        <v/>
      </c>
      <c r="E194" s="24" t="str">
        <f>IF(ISNUMBER('Список деталей'!E202), 'Список деталей'!E202, "")</f>
        <v/>
      </c>
      <c r="F194" s="24" t="str">
        <f>IF(ISNUMBER('Список деталей'!C202), 'Список деталей'!C202, "")</f>
        <v/>
      </c>
      <c r="G194" s="24" t="str">
        <f>IF(ISNUMBER('Список деталей'!D202), 'Список деталей'!D202, "")</f>
        <v/>
      </c>
      <c r="H194" s="3" t="str">
        <f t="shared" ref="H194:H257" si="3">U194&amp;" "&amp;M194&amp;" "&amp;N194&amp;" "&amp;O194&amp;" "&amp;P194</f>
        <v xml:space="preserve">    </v>
      </c>
      <c r="I194" s="3" t="str">
        <f>IF(ISBLANK('Список деталей'!F202),"",VLOOKUP('Список деталей'!F202,обозначениКромки,4,0))</f>
        <v/>
      </c>
      <c r="J194" s="25" t="str">
        <f>IF(ISBLANK('Список деталей'!G202),"",VLOOKUP('Список деталей'!G202,обозначениКромки,4,0))</f>
        <v/>
      </c>
      <c r="K194" s="25" t="str">
        <f>IF(ISBLANK('Список деталей'!H202),"",VLOOKUP('Список деталей'!H202,обозначениКромки,4,0))</f>
        <v/>
      </c>
      <c r="L194" s="25" t="str">
        <f>IF(ISBLANK('Список деталей'!I202),"",VLOOKUP('Список деталей'!I202,обозначениКромки,4,0))</f>
        <v/>
      </c>
      <c r="M194" s="24" t="str">
        <f>IF(ISBLANK('Список деталей'!Y202),"",('Список деталей'!Y202))</f>
        <v/>
      </c>
      <c r="N194" s="3" t="str">
        <f>IF(ISBLANK('Список деталей'!Z202),"",('Список деталей'!Z202))</f>
        <v/>
      </c>
      <c r="O194" s="3" t="str">
        <f>IF(ISBLANK('Список деталей'!AA202),"",('Список деталей'!AA202))</f>
        <v/>
      </c>
      <c r="P194" s="3" t="str">
        <f>IF(ISBLANK('Список деталей'!AB202),"",('Список деталей'!AB202))</f>
        <v/>
      </c>
      <c r="Q194" s="45">
        <f>VLOOKUP(IF(ISBLANK('Список деталей'!H202)=TRUE,7,'Список деталей'!H202),кромка,2,0)+VLOOKUP(IF(ISBLANK('Список деталей'!I202)=TRUE,7,'Список деталей'!I202),кромка,2,0)+'Список деталей'!C202</f>
        <v>0</v>
      </c>
      <c r="R194" s="45">
        <f>VLOOKUP(IF(ISBLANK('Список деталей'!F202)=TRUE,7,'Список деталей'!F202),кромка,2,0)+VLOOKUP(IF(ISBLANK('Список деталей'!G202)=TRUE,7,'Список деталей'!G202),кромка,2,0)+'Список деталей'!D202</f>
        <v>0</v>
      </c>
      <c r="S194" s="42">
        <f>IF('Список деталей'!H202="",0,1)+IF('Список деталей'!I202="",0,1)+'Список деталей'!C202</f>
        <v>0</v>
      </c>
      <c r="T194" s="42">
        <f>IF('Список деталей'!F202="",0,1)+IF('Список деталей'!G202="",0,1)+'Список деталей'!D202</f>
        <v>0</v>
      </c>
      <c r="U194" s="3" t="str">
        <f>IF(ISBLANK('Список деталей'!K202),"",'Список деталей'!K202)</f>
        <v/>
      </c>
      <c r="V194" s="3" t="str">
        <f>IF(AND('Список деталей'!C202&gt;849,'Список деталей'!D202&gt;849)=TRUE,1*'Список деталей'!E202,"")</f>
        <v/>
      </c>
    </row>
    <row r="195" spans="1:22" x14ac:dyDescent="0.45">
      <c r="A195" s="3" t="str">
        <f>IF(ISNUMBER('Список деталей'!A203), 'Список деталей'!A203, "")</f>
        <v/>
      </c>
      <c r="B195" s="30" t="str">
        <f>IF(ISBLANK('Список деталей'!B203),"",'Список деталей'!B203)</f>
        <v/>
      </c>
      <c r="C195" s="3" t="str">
        <f>IF(ISNUMBER('Список деталей'!C203), $W$4,"")</f>
        <v/>
      </c>
      <c r="D195" s="3" t="str">
        <f>IF(ISNUMBER('Список деталей'!C203), 'Список деталей'!$I$4,"")</f>
        <v/>
      </c>
      <c r="E195" s="24" t="str">
        <f>IF(ISNUMBER('Список деталей'!E203), 'Список деталей'!E203, "")</f>
        <v/>
      </c>
      <c r="F195" s="24" t="str">
        <f>IF(ISNUMBER('Список деталей'!C203), 'Список деталей'!C203, "")</f>
        <v/>
      </c>
      <c r="G195" s="24" t="str">
        <f>IF(ISNUMBER('Список деталей'!D203), 'Список деталей'!D203, "")</f>
        <v/>
      </c>
      <c r="H195" s="3" t="str">
        <f t="shared" si="3"/>
        <v xml:space="preserve">    </v>
      </c>
      <c r="I195" s="3" t="str">
        <f>IF(ISBLANK('Список деталей'!F203),"",VLOOKUP('Список деталей'!F203,обозначениКромки,4,0))</f>
        <v/>
      </c>
      <c r="J195" s="25" t="str">
        <f>IF(ISBLANK('Список деталей'!G203),"",VLOOKUP('Список деталей'!G203,обозначениКромки,4,0))</f>
        <v/>
      </c>
      <c r="K195" s="25" t="str">
        <f>IF(ISBLANK('Список деталей'!H203),"",VLOOKUP('Список деталей'!H203,обозначениКромки,4,0))</f>
        <v/>
      </c>
      <c r="L195" s="25" t="str">
        <f>IF(ISBLANK('Список деталей'!I203),"",VLOOKUP('Список деталей'!I203,обозначениКромки,4,0))</f>
        <v/>
      </c>
      <c r="M195" s="24" t="str">
        <f>IF(ISBLANK('Список деталей'!Y203),"",('Список деталей'!Y203))</f>
        <v/>
      </c>
      <c r="N195" s="3" t="str">
        <f>IF(ISBLANK('Список деталей'!Z203),"",('Список деталей'!Z203))</f>
        <v/>
      </c>
      <c r="O195" s="3" t="str">
        <f>IF(ISBLANK('Список деталей'!AA203),"",('Список деталей'!AA203))</f>
        <v/>
      </c>
      <c r="P195" s="3" t="str">
        <f>IF(ISBLANK('Список деталей'!AB203),"",('Список деталей'!AB203))</f>
        <v/>
      </c>
      <c r="Q195" s="45">
        <f>VLOOKUP(IF(ISBLANK('Список деталей'!H203)=TRUE,7,'Список деталей'!H203),кромка,2,0)+VLOOKUP(IF(ISBLANK('Список деталей'!I203)=TRUE,7,'Список деталей'!I203),кромка,2,0)+'Список деталей'!C203</f>
        <v>0</v>
      </c>
      <c r="R195" s="45">
        <f>VLOOKUP(IF(ISBLANK('Список деталей'!F203)=TRUE,7,'Список деталей'!F203),кромка,2,0)+VLOOKUP(IF(ISBLANK('Список деталей'!G203)=TRUE,7,'Список деталей'!G203),кромка,2,0)+'Список деталей'!D203</f>
        <v>0</v>
      </c>
      <c r="S195" s="42">
        <f>IF('Список деталей'!H203="",0,1)+IF('Список деталей'!I203="",0,1)+'Список деталей'!C203</f>
        <v>0</v>
      </c>
      <c r="T195" s="42">
        <f>IF('Список деталей'!F203="",0,1)+IF('Список деталей'!G203="",0,1)+'Список деталей'!D203</f>
        <v>0</v>
      </c>
      <c r="U195" s="3" t="str">
        <f>IF(ISBLANK('Список деталей'!K203),"",'Список деталей'!K203)</f>
        <v/>
      </c>
      <c r="V195" s="3" t="str">
        <f>IF(AND('Список деталей'!C203&gt;849,'Список деталей'!D203&gt;849)=TRUE,1*'Список деталей'!E203,"")</f>
        <v/>
      </c>
    </row>
    <row r="196" spans="1:22" x14ac:dyDescent="0.45">
      <c r="A196" s="3" t="str">
        <f>IF(ISNUMBER('Список деталей'!A204), 'Список деталей'!A204, "")</f>
        <v/>
      </c>
      <c r="B196" s="30" t="str">
        <f>IF(ISBLANK('Список деталей'!B204),"",'Список деталей'!B204)</f>
        <v/>
      </c>
      <c r="C196" s="3" t="str">
        <f>IF(ISNUMBER('Список деталей'!C204), $W$4,"")</f>
        <v/>
      </c>
      <c r="D196" s="3" t="str">
        <f>IF(ISNUMBER('Список деталей'!C204), 'Список деталей'!$I$4,"")</f>
        <v/>
      </c>
      <c r="E196" s="24" t="str">
        <f>IF(ISNUMBER('Список деталей'!E204), 'Список деталей'!E204, "")</f>
        <v/>
      </c>
      <c r="F196" s="24" t="str">
        <f>IF(ISNUMBER('Список деталей'!C204), 'Список деталей'!C204, "")</f>
        <v/>
      </c>
      <c r="G196" s="24" t="str">
        <f>IF(ISNUMBER('Список деталей'!D204), 'Список деталей'!D204, "")</f>
        <v/>
      </c>
      <c r="H196" s="3" t="str">
        <f t="shared" si="3"/>
        <v xml:space="preserve">    </v>
      </c>
      <c r="I196" s="3" t="str">
        <f>IF(ISBLANK('Список деталей'!F204),"",VLOOKUP('Список деталей'!F204,обозначениКромки,4,0))</f>
        <v/>
      </c>
      <c r="J196" s="25" t="str">
        <f>IF(ISBLANK('Список деталей'!G204),"",VLOOKUP('Список деталей'!G204,обозначениКромки,4,0))</f>
        <v/>
      </c>
      <c r="K196" s="25" t="str">
        <f>IF(ISBLANK('Список деталей'!H204),"",VLOOKUP('Список деталей'!H204,обозначениКромки,4,0))</f>
        <v/>
      </c>
      <c r="L196" s="25" t="str">
        <f>IF(ISBLANK('Список деталей'!I204),"",VLOOKUP('Список деталей'!I204,обозначениКромки,4,0))</f>
        <v/>
      </c>
      <c r="M196" s="24" t="str">
        <f>IF(ISBLANK('Список деталей'!Y204),"",('Список деталей'!Y204))</f>
        <v/>
      </c>
      <c r="N196" s="3" t="str">
        <f>IF(ISBLANK('Список деталей'!Z204),"",('Список деталей'!Z204))</f>
        <v/>
      </c>
      <c r="O196" s="3" t="str">
        <f>IF(ISBLANK('Список деталей'!AA204),"",('Список деталей'!AA204))</f>
        <v/>
      </c>
      <c r="P196" s="3" t="str">
        <f>IF(ISBLANK('Список деталей'!AB204),"",('Список деталей'!AB204))</f>
        <v/>
      </c>
      <c r="Q196" s="45">
        <f>VLOOKUP(IF(ISBLANK('Список деталей'!H204)=TRUE,7,'Список деталей'!H204),кромка,2,0)+VLOOKUP(IF(ISBLANK('Список деталей'!I204)=TRUE,7,'Список деталей'!I204),кромка,2,0)+'Список деталей'!C204</f>
        <v>0</v>
      </c>
      <c r="R196" s="45">
        <f>VLOOKUP(IF(ISBLANK('Список деталей'!F204)=TRUE,7,'Список деталей'!F204),кромка,2,0)+VLOOKUP(IF(ISBLANK('Список деталей'!G204)=TRUE,7,'Список деталей'!G204),кромка,2,0)+'Список деталей'!D204</f>
        <v>0</v>
      </c>
      <c r="S196" s="42">
        <f>IF('Список деталей'!H204="",0,1)+IF('Список деталей'!I204="",0,1)+'Список деталей'!C204</f>
        <v>0</v>
      </c>
      <c r="T196" s="42">
        <f>IF('Список деталей'!F204="",0,1)+IF('Список деталей'!G204="",0,1)+'Список деталей'!D204</f>
        <v>0</v>
      </c>
      <c r="U196" s="3" t="str">
        <f>IF(ISBLANK('Список деталей'!K204),"",'Список деталей'!K204)</f>
        <v/>
      </c>
      <c r="V196" s="3" t="str">
        <f>IF(AND('Список деталей'!C204&gt;849,'Список деталей'!D204&gt;849)=TRUE,1*'Список деталей'!E204,"")</f>
        <v/>
      </c>
    </row>
    <row r="197" spans="1:22" x14ac:dyDescent="0.45">
      <c r="A197" s="3" t="str">
        <f>IF(ISNUMBER('Список деталей'!A205), 'Список деталей'!A205, "")</f>
        <v/>
      </c>
      <c r="B197" s="30" t="str">
        <f>IF(ISBLANK('Список деталей'!B205),"",'Список деталей'!B205)</f>
        <v/>
      </c>
      <c r="C197" s="3" t="str">
        <f>IF(ISNUMBER('Список деталей'!C205), $W$4,"")</f>
        <v/>
      </c>
      <c r="D197" s="3" t="str">
        <f>IF(ISNUMBER('Список деталей'!C205), 'Список деталей'!$I$4,"")</f>
        <v/>
      </c>
      <c r="E197" s="24" t="str">
        <f>IF(ISNUMBER('Список деталей'!E205), 'Список деталей'!E205, "")</f>
        <v/>
      </c>
      <c r="F197" s="24" t="str">
        <f>IF(ISNUMBER('Список деталей'!C205), 'Список деталей'!C205, "")</f>
        <v/>
      </c>
      <c r="G197" s="24" t="str">
        <f>IF(ISNUMBER('Список деталей'!D205), 'Список деталей'!D205, "")</f>
        <v/>
      </c>
      <c r="H197" s="3" t="str">
        <f t="shared" si="3"/>
        <v xml:space="preserve">    </v>
      </c>
      <c r="I197" s="3" t="str">
        <f>IF(ISBLANK('Список деталей'!F205),"",VLOOKUP('Список деталей'!F205,обозначениКромки,4,0))</f>
        <v/>
      </c>
      <c r="J197" s="25" t="str">
        <f>IF(ISBLANK('Список деталей'!G205),"",VLOOKUP('Список деталей'!G205,обозначениКромки,4,0))</f>
        <v/>
      </c>
      <c r="K197" s="25" t="str">
        <f>IF(ISBLANK('Список деталей'!H205),"",VLOOKUP('Список деталей'!H205,обозначениКромки,4,0))</f>
        <v/>
      </c>
      <c r="L197" s="25" t="str">
        <f>IF(ISBLANK('Список деталей'!I205),"",VLOOKUP('Список деталей'!I205,обозначениКромки,4,0))</f>
        <v/>
      </c>
      <c r="M197" s="24" t="str">
        <f>IF(ISBLANK('Список деталей'!Y205),"",('Список деталей'!Y205))</f>
        <v/>
      </c>
      <c r="N197" s="3" t="str">
        <f>IF(ISBLANK('Список деталей'!Z205),"",('Список деталей'!Z205))</f>
        <v/>
      </c>
      <c r="O197" s="3" t="str">
        <f>IF(ISBLANK('Список деталей'!AA205),"",('Список деталей'!AA205))</f>
        <v/>
      </c>
      <c r="P197" s="3" t="str">
        <f>IF(ISBLANK('Список деталей'!AB205),"",('Список деталей'!AB205))</f>
        <v/>
      </c>
      <c r="Q197" s="45">
        <f>VLOOKUP(IF(ISBLANK('Список деталей'!H205)=TRUE,7,'Список деталей'!H205),кромка,2,0)+VLOOKUP(IF(ISBLANK('Список деталей'!I205)=TRUE,7,'Список деталей'!I205),кромка,2,0)+'Список деталей'!C205</f>
        <v>0</v>
      </c>
      <c r="R197" s="45">
        <f>VLOOKUP(IF(ISBLANK('Список деталей'!F205)=TRUE,7,'Список деталей'!F205),кромка,2,0)+VLOOKUP(IF(ISBLANK('Список деталей'!G205)=TRUE,7,'Список деталей'!G205),кромка,2,0)+'Список деталей'!D205</f>
        <v>0</v>
      </c>
      <c r="S197" s="42">
        <f>IF('Список деталей'!H205="",0,1)+IF('Список деталей'!I205="",0,1)+'Список деталей'!C205</f>
        <v>0</v>
      </c>
      <c r="T197" s="42">
        <f>IF('Список деталей'!F205="",0,1)+IF('Список деталей'!G205="",0,1)+'Список деталей'!D205</f>
        <v>0</v>
      </c>
      <c r="U197" s="3" t="str">
        <f>IF(ISBLANK('Список деталей'!K205),"",'Список деталей'!K205)</f>
        <v/>
      </c>
      <c r="V197" s="3" t="str">
        <f>IF(AND('Список деталей'!C205&gt;849,'Список деталей'!D205&gt;849)=TRUE,1*'Список деталей'!E205,"")</f>
        <v/>
      </c>
    </row>
    <row r="198" spans="1:22" x14ac:dyDescent="0.45">
      <c r="A198" s="3" t="str">
        <f>IF(ISNUMBER('Список деталей'!A206), 'Список деталей'!A206, "")</f>
        <v/>
      </c>
      <c r="B198" s="30" t="str">
        <f>IF(ISBLANK('Список деталей'!B206),"",'Список деталей'!B206)</f>
        <v/>
      </c>
      <c r="C198" s="3" t="str">
        <f>IF(ISNUMBER('Список деталей'!C206), $W$4,"")</f>
        <v/>
      </c>
      <c r="D198" s="3" t="str">
        <f>IF(ISNUMBER('Список деталей'!C206), 'Список деталей'!$I$4,"")</f>
        <v/>
      </c>
      <c r="E198" s="24" t="str">
        <f>IF(ISNUMBER('Список деталей'!E206), 'Список деталей'!E206, "")</f>
        <v/>
      </c>
      <c r="F198" s="24" t="str">
        <f>IF(ISNUMBER('Список деталей'!C206), 'Список деталей'!C206, "")</f>
        <v/>
      </c>
      <c r="G198" s="24" t="str">
        <f>IF(ISNUMBER('Список деталей'!D206), 'Список деталей'!D206, "")</f>
        <v/>
      </c>
      <c r="H198" s="3" t="str">
        <f t="shared" si="3"/>
        <v xml:space="preserve">    </v>
      </c>
      <c r="I198" s="3" t="str">
        <f>IF(ISBLANK('Список деталей'!F206),"",VLOOKUP('Список деталей'!F206,обозначениКромки,4,0))</f>
        <v/>
      </c>
      <c r="J198" s="25" t="str">
        <f>IF(ISBLANK('Список деталей'!G206),"",VLOOKUP('Список деталей'!G206,обозначениКромки,4,0))</f>
        <v/>
      </c>
      <c r="K198" s="25" t="str">
        <f>IF(ISBLANK('Список деталей'!H206),"",VLOOKUP('Список деталей'!H206,обозначениКромки,4,0))</f>
        <v/>
      </c>
      <c r="L198" s="25" t="str">
        <f>IF(ISBLANK('Список деталей'!I206),"",VLOOKUP('Список деталей'!I206,обозначениКромки,4,0))</f>
        <v/>
      </c>
      <c r="M198" s="24" t="str">
        <f>IF(ISBLANK('Список деталей'!Y206),"",('Список деталей'!Y206))</f>
        <v/>
      </c>
      <c r="N198" s="3" t="str">
        <f>IF(ISBLANK('Список деталей'!Z206),"",('Список деталей'!Z206))</f>
        <v/>
      </c>
      <c r="O198" s="3" t="str">
        <f>IF(ISBLANK('Список деталей'!AA206),"",('Список деталей'!AA206))</f>
        <v/>
      </c>
      <c r="P198" s="3" t="str">
        <f>IF(ISBLANK('Список деталей'!AB206),"",('Список деталей'!AB206))</f>
        <v/>
      </c>
      <c r="Q198" s="45">
        <f>VLOOKUP(IF(ISBLANK('Список деталей'!H206)=TRUE,7,'Список деталей'!H206),кромка,2,0)+VLOOKUP(IF(ISBLANK('Список деталей'!I206)=TRUE,7,'Список деталей'!I206),кромка,2,0)+'Список деталей'!C206</f>
        <v>0</v>
      </c>
      <c r="R198" s="45">
        <f>VLOOKUP(IF(ISBLANK('Список деталей'!F206)=TRUE,7,'Список деталей'!F206),кромка,2,0)+VLOOKUP(IF(ISBLANK('Список деталей'!G206)=TRUE,7,'Список деталей'!G206),кромка,2,0)+'Список деталей'!D206</f>
        <v>0</v>
      </c>
      <c r="S198" s="42">
        <f>IF('Список деталей'!H206="",0,1)+IF('Список деталей'!I206="",0,1)+'Список деталей'!C206</f>
        <v>0</v>
      </c>
      <c r="T198" s="42">
        <f>IF('Список деталей'!F206="",0,1)+IF('Список деталей'!G206="",0,1)+'Список деталей'!D206</f>
        <v>0</v>
      </c>
      <c r="U198" s="3" t="str">
        <f>IF(ISBLANK('Список деталей'!K206),"",'Список деталей'!K206)</f>
        <v/>
      </c>
      <c r="V198" s="3" t="str">
        <f>IF(AND('Список деталей'!C206&gt;849,'Список деталей'!D206&gt;849)=TRUE,1*'Список деталей'!E206,"")</f>
        <v/>
      </c>
    </row>
    <row r="199" spans="1:22" x14ac:dyDescent="0.45">
      <c r="A199" s="3" t="str">
        <f>IF(ISNUMBER('Список деталей'!A207), 'Список деталей'!A207, "")</f>
        <v/>
      </c>
      <c r="B199" s="30" t="str">
        <f>IF(ISBLANK('Список деталей'!B207),"",'Список деталей'!B207)</f>
        <v/>
      </c>
      <c r="C199" s="3" t="str">
        <f>IF(ISNUMBER('Список деталей'!C207), $W$4,"")</f>
        <v/>
      </c>
      <c r="D199" s="3" t="str">
        <f>IF(ISNUMBER('Список деталей'!C207), 'Список деталей'!$I$4,"")</f>
        <v/>
      </c>
      <c r="E199" s="24" t="str">
        <f>IF(ISNUMBER('Список деталей'!E207), 'Список деталей'!E207, "")</f>
        <v/>
      </c>
      <c r="F199" s="24" t="str">
        <f>IF(ISNUMBER('Список деталей'!C207), 'Список деталей'!C207, "")</f>
        <v/>
      </c>
      <c r="G199" s="24" t="str">
        <f>IF(ISNUMBER('Список деталей'!D207), 'Список деталей'!D207, "")</f>
        <v/>
      </c>
      <c r="H199" s="3" t="str">
        <f t="shared" si="3"/>
        <v xml:space="preserve">    </v>
      </c>
      <c r="I199" s="3" t="str">
        <f>IF(ISBLANK('Список деталей'!F207),"",VLOOKUP('Список деталей'!F207,обозначениКромки,4,0))</f>
        <v/>
      </c>
      <c r="J199" s="25" t="str">
        <f>IF(ISBLANK('Список деталей'!G207),"",VLOOKUP('Список деталей'!G207,обозначениКромки,4,0))</f>
        <v/>
      </c>
      <c r="K199" s="25" t="str">
        <f>IF(ISBLANK('Список деталей'!H207),"",VLOOKUP('Список деталей'!H207,обозначениКромки,4,0))</f>
        <v/>
      </c>
      <c r="L199" s="25" t="str">
        <f>IF(ISBLANK('Список деталей'!I207),"",VLOOKUP('Список деталей'!I207,обозначениКромки,4,0))</f>
        <v/>
      </c>
      <c r="M199" s="24" t="str">
        <f>IF(ISBLANK('Список деталей'!Y207),"",('Список деталей'!Y207))</f>
        <v/>
      </c>
      <c r="N199" s="3" t="str">
        <f>IF(ISBLANK('Список деталей'!Z207),"",('Список деталей'!Z207))</f>
        <v/>
      </c>
      <c r="O199" s="3" t="str">
        <f>IF(ISBLANK('Список деталей'!AA207),"",('Список деталей'!AA207))</f>
        <v/>
      </c>
      <c r="P199" s="3" t="str">
        <f>IF(ISBLANK('Список деталей'!AB207),"",('Список деталей'!AB207))</f>
        <v/>
      </c>
      <c r="Q199" s="45">
        <f>VLOOKUP(IF(ISBLANK('Список деталей'!H207)=TRUE,7,'Список деталей'!H207),кромка,2,0)+VLOOKUP(IF(ISBLANK('Список деталей'!I207)=TRUE,7,'Список деталей'!I207),кромка,2,0)+'Список деталей'!C207</f>
        <v>0</v>
      </c>
      <c r="R199" s="45">
        <f>VLOOKUP(IF(ISBLANK('Список деталей'!F207)=TRUE,7,'Список деталей'!F207),кромка,2,0)+VLOOKUP(IF(ISBLANK('Список деталей'!G207)=TRUE,7,'Список деталей'!G207),кромка,2,0)+'Список деталей'!D207</f>
        <v>0</v>
      </c>
      <c r="S199" s="42">
        <f>IF('Список деталей'!H207="",0,1)+IF('Список деталей'!I207="",0,1)+'Список деталей'!C207</f>
        <v>0</v>
      </c>
      <c r="T199" s="42">
        <f>IF('Список деталей'!F207="",0,1)+IF('Список деталей'!G207="",0,1)+'Список деталей'!D207</f>
        <v>0</v>
      </c>
      <c r="U199" s="3" t="str">
        <f>IF(ISBLANK('Список деталей'!K207),"",'Список деталей'!K207)</f>
        <v/>
      </c>
      <c r="V199" s="3" t="str">
        <f>IF(AND('Список деталей'!C207&gt;849,'Список деталей'!D207&gt;849)=TRUE,1*'Список деталей'!E207,"")</f>
        <v/>
      </c>
    </row>
    <row r="200" spans="1:22" x14ac:dyDescent="0.45">
      <c r="A200" s="3" t="str">
        <f>IF(ISNUMBER('Список деталей'!A208), 'Список деталей'!A208, "")</f>
        <v/>
      </c>
      <c r="B200" s="30" t="str">
        <f>IF(ISBLANK('Список деталей'!B208),"",'Список деталей'!B208)</f>
        <v/>
      </c>
      <c r="C200" s="3" t="str">
        <f>IF(ISNUMBER('Список деталей'!C208), $W$4,"")</f>
        <v/>
      </c>
      <c r="D200" s="3" t="str">
        <f>IF(ISNUMBER('Список деталей'!C208), 'Список деталей'!$I$4,"")</f>
        <v/>
      </c>
      <c r="E200" s="24" t="str">
        <f>IF(ISNUMBER('Список деталей'!E208), 'Список деталей'!E208, "")</f>
        <v/>
      </c>
      <c r="F200" s="24" t="str">
        <f>IF(ISNUMBER('Список деталей'!C208), 'Список деталей'!C208, "")</f>
        <v/>
      </c>
      <c r="G200" s="24" t="str">
        <f>IF(ISNUMBER('Список деталей'!D208), 'Список деталей'!D208, "")</f>
        <v/>
      </c>
      <c r="H200" s="3" t="str">
        <f t="shared" si="3"/>
        <v xml:space="preserve">    </v>
      </c>
      <c r="I200" s="3" t="str">
        <f>IF(ISBLANK('Список деталей'!F208),"",VLOOKUP('Список деталей'!F208,обозначениКромки,4,0))</f>
        <v/>
      </c>
      <c r="J200" s="25" t="str">
        <f>IF(ISBLANK('Список деталей'!G208),"",VLOOKUP('Список деталей'!G208,обозначениКромки,4,0))</f>
        <v/>
      </c>
      <c r="K200" s="25" t="str">
        <f>IF(ISBLANK('Список деталей'!H208),"",VLOOKUP('Список деталей'!H208,обозначениКромки,4,0))</f>
        <v/>
      </c>
      <c r="L200" s="25" t="str">
        <f>IF(ISBLANK('Список деталей'!I208),"",VLOOKUP('Список деталей'!I208,обозначениКромки,4,0))</f>
        <v/>
      </c>
      <c r="M200" s="24" t="str">
        <f>IF(ISBLANK('Список деталей'!Y208),"",('Список деталей'!Y208))</f>
        <v/>
      </c>
      <c r="N200" s="3" t="str">
        <f>IF(ISBLANK('Список деталей'!Z208),"",('Список деталей'!Z208))</f>
        <v/>
      </c>
      <c r="O200" s="3" t="str">
        <f>IF(ISBLANK('Список деталей'!AA208),"",('Список деталей'!AA208))</f>
        <v/>
      </c>
      <c r="P200" s="3" t="str">
        <f>IF(ISBLANK('Список деталей'!AB208),"",('Список деталей'!AB208))</f>
        <v/>
      </c>
      <c r="Q200" s="45">
        <f>VLOOKUP(IF(ISBLANK('Список деталей'!H208)=TRUE,7,'Список деталей'!H208),кромка,2,0)+VLOOKUP(IF(ISBLANK('Список деталей'!I208)=TRUE,7,'Список деталей'!I208),кромка,2,0)+'Список деталей'!C208</f>
        <v>0</v>
      </c>
      <c r="R200" s="45">
        <f>VLOOKUP(IF(ISBLANK('Список деталей'!F208)=TRUE,7,'Список деталей'!F208),кромка,2,0)+VLOOKUP(IF(ISBLANK('Список деталей'!G208)=TRUE,7,'Список деталей'!G208),кромка,2,0)+'Список деталей'!D208</f>
        <v>0</v>
      </c>
      <c r="S200" s="42">
        <f>IF('Список деталей'!H208="",0,1)+IF('Список деталей'!I208="",0,1)+'Список деталей'!C208</f>
        <v>0</v>
      </c>
      <c r="T200" s="42">
        <f>IF('Список деталей'!F208="",0,1)+IF('Список деталей'!G208="",0,1)+'Список деталей'!D208</f>
        <v>0</v>
      </c>
      <c r="U200" s="3" t="str">
        <f>IF(ISBLANK('Список деталей'!K208),"",'Список деталей'!K208)</f>
        <v/>
      </c>
      <c r="V200" s="3" t="str">
        <f>IF(AND('Список деталей'!C208&gt;849,'Список деталей'!D208&gt;849)=TRUE,1*'Список деталей'!E208,"")</f>
        <v/>
      </c>
    </row>
    <row r="201" spans="1:22" x14ac:dyDescent="0.45">
      <c r="A201" s="3" t="str">
        <f>IF(ISNUMBER('Список деталей'!A209), 'Список деталей'!A209, "")</f>
        <v/>
      </c>
      <c r="B201" s="30" t="str">
        <f>IF(ISBLANK('Список деталей'!B209),"",'Список деталей'!B209)</f>
        <v/>
      </c>
      <c r="C201" s="3" t="str">
        <f>IF(ISNUMBER('Список деталей'!C209), $W$4,"")</f>
        <v/>
      </c>
      <c r="D201" s="3" t="str">
        <f>IF(ISNUMBER('Список деталей'!C209), 'Список деталей'!$I$4,"")</f>
        <v/>
      </c>
      <c r="E201" s="24" t="str">
        <f>IF(ISNUMBER('Список деталей'!E209), 'Список деталей'!E209, "")</f>
        <v/>
      </c>
      <c r="F201" s="24" t="str">
        <f>IF(ISNUMBER('Список деталей'!C209), 'Список деталей'!C209, "")</f>
        <v/>
      </c>
      <c r="G201" s="24" t="str">
        <f>IF(ISNUMBER('Список деталей'!D209), 'Список деталей'!D209, "")</f>
        <v/>
      </c>
      <c r="H201" s="3" t="str">
        <f t="shared" si="3"/>
        <v xml:space="preserve">    </v>
      </c>
      <c r="I201" s="3" t="str">
        <f>IF(ISBLANK('Список деталей'!F209),"",VLOOKUP('Список деталей'!F209,обозначениКромки,4,0))</f>
        <v/>
      </c>
      <c r="J201" s="25" t="str">
        <f>IF(ISBLANK('Список деталей'!G209),"",VLOOKUP('Список деталей'!G209,обозначениКромки,4,0))</f>
        <v/>
      </c>
      <c r="K201" s="25" t="str">
        <f>IF(ISBLANK('Список деталей'!H209),"",VLOOKUP('Список деталей'!H209,обозначениКромки,4,0))</f>
        <v/>
      </c>
      <c r="L201" s="25" t="str">
        <f>IF(ISBLANK('Список деталей'!I209),"",VLOOKUP('Список деталей'!I209,обозначениКромки,4,0))</f>
        <v/>
      </c>
      <c r="M201" s="24" t="str">
        <f>IF(ISBLANK('Список деталей'!Y209),"",('Список деталей'!Y209))</f>
        <v/>
      </c>
      <c r="N201" s="3" t="str">
        <f>IF(ISBLANK('Список деталей'!Z209),"",('Список деталей'!Z209))</f>
        <v/>
      </c>
      <c r="O201" s="3" t="str">
        <f>IF(ISBLANK('Список деталей'!AA209),"",('Список деталей'!AA209))</f>
        <v/>
      </c>
      <c r="P201" s="3" t="str">
        <f>IF(ISBLANK('Список деталей'!AB209),"",('Список деталей'!AB209))</f>
        <v/>
      </c>
      <c r="Q201" s="45">
        <f>VLOOKUP(IF(ISBLANK('Список деталей'!H209)=TRUE,7,'Список деталей'!H209),кромка,2,0)+VLOOKUP(IF(ISBLANK('Список деталей'!I209)=TRUE,7,'Список деталей'!I209),кромка,2,0)+'Список деталей'!C209</f>
        <v>0</v>
      </c>
      <c r="R201" s="45">
        <f>VLOOKUP(IF(ISBLANK('Список деталей'!F209)=TRUE,7,'Список деталей'!F209),кромка,2,0)+VLOOKUP(IF(ISBLANK('Список деталей'!G209)=TRUE,7,'Список деталей'!G209),кромка,2,0)+'Список деталей'!D209</f>
        <v>0</v>
      </c>
      <c r="S201" s="42">
        <f>IF('Список деталей'!H209="",0,1)+IF('Список деталей'!I209="",0,1)+'Список деталей'!C209</f>
        <v>0</v>
      </c>
      <c r="T201" s="42">
        <f>IF('Список деталей'!F209="",0,1)+IF('Список деталей'!G209="",0,1)+'Список деталей'!D209</f>
        <v>0</v>
      </c>
      <c r="U201" s="3" t="str">
        <f>IF(ISBLANK('Список деталей'!K209),"",'Список деталей'!K209)</f>
        <v/>
      </c>
      <c r="V201" s="3" t="str">
        <f>IF(AND('Список деталей'!C209&gt;849,'Список деталей'!D209&gt;849)=TRUE,1*'Список деталей'!E209,"")</f>
        <v/>
      </c>
    </row>
    <row r="202" spans="1:22" x14ac:dyDescent="0.45">
      <c r="A202" s="3" t="str">
        <f>IF(ISNUMBER('Список деталей'!A210), 'Список деталей'!A210, "")</f>
        <v/>
      </c>
      <c r="B202" s="30" t="str">
        <f>IF(ISBLANK('Список деталей'!B210),"",'Список деталей'!B210)</f>
        <v/>
      </c>
      <c r="C202" s="3" t="str">
        <f>IF(ISNUMBER('Список деталей'!C210), $W$4,"")</f>
        <v/>
      </c>
      <c r="D202" s="3" t="str">
        <f>IF(ISNUMBER('Список деталей'!C210), 'Список деталей'!$I$4,"")</f>
        <v/>
      </c>
      <c r="E202" s="24" t="str">
        <f>IF(ISNUMBER('Список деталей'!E210), 'Список деталей'!E210, "")</f>
        <v/>
      </c>
      <c r="F202" s="24" t="str">
        <f>IF(ISNUMBER('Список деталей'!C210), 'Список деталей'!C210, "")</f>
        <v/>
      </c>
      <c r="G202" s="24" t="str">
        <f>IF(ISNUMBER('Список деталей'!D210), 'Список деталей'!D210, "")</f>
        <v/>
      </c>
      <c r="H202" s="3" t="str">
        <f t="shared" si="3"/>
        <v xml:space="preserve">    </v>
      </c>
      <c r="I202" s="3" t="str">
        <f>IF(ISBLANK('Список деталей'!F210),"",VLOOKUP('Список деталей'!F210,обозначениКромки,4,0))</f>
        <v/>
      </c>
      <c r="J202" s="25" t="str">
        <f>IF(ISBLANK('Список деталей'!G210),"",VLOOKUP('Список деталей'!G210,обозначениКромки,4,0))</f>
        <v/>
      </c>
      <c r="K202" s="25" t="str">
        <f>IF(ISBLANK('Список деталей'!H210),"",VLOOKUP('Список деталей'!H210,обозначениКромки,4,0))</f>
        <v/>
      </c>
      <c r="L202" s="25" t="str">
        <f>IF(ISBLANK('Список деталей'!I210),"",VLOOKUP('Список деталей'!I210,обозначениКромки,4,0))</f>
        <v/>
      </c>
      <c r="M202" s="24" t="str">
        <f>IF(ISBLANK('Список деталей'!Y210),"",('Список деталей'!Y210))</f>
        <v/>
      </c>
      <c r="N202" s="3" t="str">
        <f>IF(ISBLANK('Список деталей'!Z210),"",('Список деталей'!Z210))</f>
        <v/>
      </c>
      <c r="O202" s="3" t="str">
        <f>IF(ISBLANK('Список деталей'!AA210),"",('Список деталей'!AA210))</f>
        <v/>
      </c>
      <c r="P202" s="3" t="str">
        <f>IF(ISBLANK('Список деталей'!AB210),"",('Список деталей'!AB210))</f>
        <v/>
      </c>
      <c r="Q202" s="45">
        <f>VLOOKUP(IF(ISBLANK('Список деталей'!H210)=TRUE,7,'Список деталей'!H210),кромка,2,0)+VLOOKUP(IF(ISBLANK('Список деталей'!I210)=TRUE,7,'Список деталей'!I210),кромка,2,0)+'Список деталей'!C210</f>
        <v>0</v>
      </c>
      <c r="R202" s="45">
        <f>VLOOKUP(IF(ISBLANK('Список деталей'!F210)=TRUE,7,'Список деталей'!F210),кромка,2,0)+VLOOKUP(IF(ISBLANK('Список деталей'!G210)=TRUE,7,'Список деталей'!G210),кромка,2,0)+'Список деталей'!D210</f>
        <v>0</v>
      </c>
      <c r="S202" s="42">
        <f>IF('Список деталей'!H210="",0,1)+IF('Список деталей'!I210="",0,1)+'Список деталей'!C210</f>
        <v>0</v>
      </c>
      <c r="T202" s="42">
        <f>IF('Список деталей'!F210="",0,1)+IF('Список деталей'!G210="",0,1)+'Список деталей'!D210</f>
        <v>0</v>
      </c>
      <c r="U202" s="3" t="str">
        <f>IF(ISBLANK('Список деталей'!K210),"",'Список деталей'!K210)</f>
        <v/>
      </c>
      <c r="V202" s="3" t="str">
        <f>IF(AND('Список деталей'!C210&gt;849,'Список деталей'!D210&gt;849)=TRUE,1*'Список деталей'!E210,"")</f>
        <v/>
      </c>
    </row>
    <row r="203" spans="1:22" x14ac:dyDescent="0.45">
      <c r="A203" s="3" t="str">
        <f>IF(ISNUMBER('Список деталей'!A211), 'Список деталей'!A211, "")</f>
        <v/>
      </c>
      <c r="B203" s="30" t="str">
        <f>IF(ISBLANK('Список деталей'!B211),"",'Список деталей'!B211)</f>
        <v/>
      </c>
      <c r="C203" s="3" t="str">
        <f>IF(ISNUMBER('Список деталей'!C211), $W$4,"")</f>
        <v/>
      </c>
      <c r="D203" s="3" t="str">
        <f>IF(ISNUMBER('Список деталей'!C211), 'Список деталей'!$I$4,"")</f>
        <v/>
      </c>
      <c r="E203" s="24" t="str">
        <f>IF(ISNUMBER('Список деталей'!E211), 'Список деталей'!E211, "")</f>
        <v/>
      </c>
      <c r="F203" s="24" t="str">
        <f>IF(ISNUMBER('Список деталей'!C211), 'Список деталей'!C211, "")</f>
        <v/>
      </c>
      <c r="G203" s="24" t="str">
        <f>IF(ISNUMBER('Список деталей'!D211), 'Список деталей'!D211, "")</f>
        <v/>
      </c>
      <c r="H203" s="3" t="str">
        <f t="shared" si="3"/>
        <v xml:space="preserve">    </v>
      </c>
      <c r="I203" s="3" t="str">
        <f>IF(ISBLANK('Список деталей'!F211),"",VLOOKUP('Список деталей'!F211,обозначениКромки,4,0))</f>
        <v/>
      </c>
      <c r="J203" s="25" t="str">
        <f>IF(ISBLANK('Список деталей'!G211),"",VLOOKUP('Список деталей'!G211,обозначениКромки,4,0))</f>
        <v/>
      </c>
      <c r="K203" s="25" t="str">
        <f>IF(ISBLANK('Список деталей'!H211),"",VLOOKUP('Список деталей'!H211,обозначениКромки,4,0))</f>
        <v/>
      </c>
      <c r="L203" s="25" t="str">
        <f>IF(ISBLANK('Список деталей'!I211),"",VLOOKUP('Список деталей'!I211,обозначениКромки,4,0))</f>
        <v/>
      </c>
      <c r="M203" s="24" t="str">
        <f>IF(ISBLANK('Список деталей'!Y211),"",('Список деталей'!Y211))</f>
        <v/>
      </c>
      <c r="N203" s="3" t="str">
        <f>IF(ISBLANK('Список деталей'!Z211),"",('Список деталей'!Z211))</f>
        <v/>
      </c>
      <c r="O203" s="3" t="str">
        <f>IF(ISBLANK('Список деталей'!AA211),"",('Список деталей'!AA211))</f>
        <v/>
      </c>
      <c r="P203" s="3" t="str">
        <f>IF(ISBLANK('Список деталей'!AB211),"",('Список деталей'!AB211))</f>
        <v/>
      </c>
      <c r="Q203" s="45">
        <f>VLOOKUP(IF(ISBLANK('Список деталей'!H211)=TRUE,7,'Список деталей'!H211),кромка,2,0)+VLOOKUP(IF(ISBLANK('Список деталей'!I211)=TRUE,7,'Список деталей'!I211),кромка,2,0)+'Список деталей'!C211</f>
        <v>0</v>
      </c>
      <c r="R203" s="45">
        <f>VLOOKUP(IF(ISBLANK('Список деталей'!F211)=TRUE,7,'Список деталей'!F211),кромка,2,0)+VLOOKUP(IF(ISBLANK('Список деталей'!G211)=TRUE,7,'Список деталей'!G211),кромка,2,0)+'Список деталей'!D211</f>
        <v>0</v>
      </c>
      <c r="S203" s="42">
        <f>IF('Список деталей'!H211="",0,1)+IF('Список деталей'!I211="",0,1)+'Список деталей'!C211</f>
        <v>0</v>
      </c>
      <c r="T203" s="42">
        <f>IF('Список деталей'!F211="",0,1)+IF('Список деталей'!G211="",0,1)+'Список деталей'!D211</f>
        <v>0</v>
      </c>
      <c r="U203" s="3" t="str">
        <f>IF(ISBLANK('Список деталей'!K211),"",'Список деталей'!K211)</f>
        <v/>
      </c>
      <c r="V203" s="3" t="str">
        <f>IF(AND('Список деталей'!C211&gt;849,'Список деталей'!D211&gt;849)=TRUE,1*'Список деталей'!E211,"")</f>
        <v/>
      </c>
    </row>
    <row r="204" spans="1:22" x14ac:dyDescent="0.45">
      <c r="A204" s="3" t="str">
        <f>IF(ISNUMBER('Список деталей'!A212), 'Список деталей'!A212, "")</f>
        <v/>
      </c>
      <c r="B204" s="30" t="str">
        <f>IF(ISBLANK('Список деталей'!B212),"",'Список деталей'!B212)</f>
        <v/>
      </c>
      <c r="C204" s="3" t="str">
        <f>IF(ISNUMBER('Список деталей'!C212), $W$4,"")</f>
        <v/>
      </c>
      <c r="D204" s="3" t="str">
        <f>IF(ISNUMBER('Список деталей'!C212), 'Список деталей'!$I$4,"")</f>
        <v/>
      </c>
      <c r="E204" s="24" t="str">
        <f>IF(ISNUMBER('Список деталей'!E212), 'Список деталей'!E212, "")</f>
        <v/>
      </c>
      <c r="F204" s="24" t="str">
        <f>IF(ISNUMBER('Список деталей'!C212), 'Список деталей'!C212, "")</f>
        <v/>
      </c>
      <c r="G204" s="24" t="str">
        <f>IF(ISNUMBER('Список деталей'!D212), 'Список деталей'!D212, "")</f>
        <v/>
      </c>
      <c r="H204" s="3" t="str">
        <f t="shared" si="3"/>
        <v xml:space="preserve">    </v>
      </c>
      <c r="I204" s="3" t="str">
        <f>IF(ISBLANK('Список деталей'!F212),"",VLOOKUP('Список деталей'!F212,обозначениКромки,4,0))</f>
        <v/>
      </c>
      <c r="J204" s="25" t="str">
        <f>IF(ISBLANK('Список деталей'!G212),"",VLOOKUP('Список деталей'!G212,обозначениКромки,4,0))</f>
        <v/>
      </c>
      <c r="K204" s="25" t="str">
        <f>IF(ISBLANK('Список деталей'!H212),"",VLOOKUP('Список деталей'!H212,обозначениКромки,4,0))</f>
        <v/>
      </c>
      <c r="L204" s="25" t="str">
        <f>IF(ISBLANK('Список деталей'!I212),"",VLOOKUP('Список деталей'!I212,обозначениКромки,4,0))</f>
        <v/>
      </c>
      <c r="M204" s="24" t="str">
        <f>IF(ISBLANK('Список деталей'!Y212),"",('Список деталей'!Y212))</f>
        <v/>
      </c>
      <c r="N204" s="3" t="str">
        <f>IF(ISBLANK('Список деталей'!Z212),"",('Список деталей'!Z212))</f>
        <v/>
      </c>
      <c r="O204" s="3" t="str">
        <f>IF(ISBLANK('Список деталей'!AA212),"",('Список деталей'!AA212))</f>
        <v/>
      </c>
      <c r="P204" s="3" t="str">
        <f>IF(ISBLANK('Список деталей'!AB212),"",('Список деталей'!AB212))</f>
        <v/>
      </c>
      <c r="Q204" s="45">
        <f>VLOOKUP(IF(ISBLANK('Список деталей'!H212)=TRUE,7,'Список деталей'!H212),кромка,2,0)+VLOOKUP(IF(ISBLANK('Список деталей'!I212)=TRUE,7,'Список деталей'!I212),кромка,2,0)+'Список деталей'!C212</f>
        <v>0</v>
      </c>
      <c r="R204" s="45">
        <f>VLOOKUP(IF(ISBLANK('Список деталей'!F212)=TRUE,7,'Список деталей'!F212),кромка,2,0)+VLOOKUP(IF(ISBLANK('Список деталей'!G212)=TRUE,7,'Список деталей'!G212),кромка,2,0)+'Список деталей'!D212</f>
        <v>0</v>
      </c>
      <c r="S204" s="42">
        <f>IF('Список деталей'!H212="",0,1)+IF('Список деталей'!I212="",0,1)+'Список деталей'!C212</f>
        <v>0</v>
      </c>
      <c r="T204" s="42">
        <f>IF('Список деталей'!F212="",0,1)+IF('Список деталей'!G212="",0,1)+'Список деталей'!D212</f>
        <v>0</v>
      </c>
      <c r="U204" s="3" t="str">
        <f>IF(ISBLANK('Список деталей'!K212),"",'Список деталей'!K212)</f>
        <v/>
      </c>
      <c r="V204" s="3" t="str">
        <f>IF(AND('Список деталей'!C212&gt;849,'Список деталей'!D212&gt;849)=TRUE,1*'Список деталей'!E212,"")</f>
        <v/>
      </c>
    </row>
    <row r="205" spans="1:22" x14ac:dyDescent="0.45">
      <c r="A205" s="3" t="str">
        <f>IF(ISNUMBER('Список деталей'!A213), 'Список деталей'!A213, "")</f>
        <v/>
      </c>
      <c r="B205" s="30" t="str">
        <f>IF(ISBLANK('Список деталей'!B213),"",'Список деталей'!B213)</f>
        <v/>
      </c>
      <c r="C205" s="3" t="str">
        <f>IF(ISNUMBER('Список деталей'!C213), $W$4,"")</f>
        <v/>
      </c>
      <c r="D205" s="3" t="str">
        <f>IF(ISNUMBER('Список деталей'!C213), 'Список деталей'!$I$4,"")</f>
        <v/>
      </c>
      <c r="E205" s="24" t="str">
        <f>IF(ISNUMBER('Список деталей'!E213), 'Список деталей'!E213, "")</f>
        <v/>
      </c>
      <c r="F205" s="24" t="str">
        <f>IF(ISNUMBER('Список деталей'!C213), 'Список деталей'!C213, "")</f>
        <v/>
      </c>
      <c r="G205" s="24" t="str">
        <f>IF(ISNUMBER('Список деталей'!D213), 'Список деталей'!D213, "")</f>
        <v/>
      </c>
      <c r="H205" s="3" t="str">
        <f t="shared" si="3"/>
        <v xml:space="preserve">    </v>
      </c>
      <c r="I205" s="3" t="str">
        <f>IF(ISBLANK('Список деталей'!F213),"",VLOOKUP('Список деталей'!F213,обозначениКромки,4,0))</f>
        <v/>
      </c>
      <c r="J205" s="25" t="str">
        <f>IF(ISBLANK('Список деталей'!G213),"",VLOOKUP('Список деталей'!G213,обозначениКромки,4,0))</f>
        <v/>
      </c>
      <c r="K205" s="25" t="str">
        <f>IF(ISBLANK('Список деталей'!H213),"",VLOOKUP('Список деталей'!H213,обозначениКромки,4,0))</f>
        <v/>
      </c>
      <c r="L205" s="25" t="str">
        <f>IF(ISBLANK('Список деталей'!I213),"",VLOOKUP('Список деталей'!I213,обозначениКромки,4,0))</f>
        <v/>
      </c>
      <c r="M205" s="24" t="str">
        <f>IF(ISBLANK('Список деталей'!Y213),"",('Список деталей'!Y213))</f>
        <v/>
      </c>
      <c r="N205" s="3" t="str">
        <f>IF(ISBLANK('Список деталей'!Z213),"",('Список деталей'!Z213))</f>
        <v/>
      </c>
      <c r="O205" s="3" t="str">
        <f>IF(ISBLANK('Список деталей'!AA213),"",('Список деталей'!AA213))</f>
        <v/>
      </c>
      <c r="P205" s="3" t="str">
        <f>IF(ISBLANK('Список деталей'!AB213),"",('Список деталей'!AB213))</f>
        <v/>
      </c>
      <c r="Q205" s="45">
        <f>VLOOKUP(IF(ISBLANK('Список деталей'!H213)=TRUE,7,'Список деталей'!H213),кромка,2,0)+VLOOKUP(IF(ISBLANK('Список деталей'!I213)=TRUE,7,'Список деталей'!I213),кромка,2,0)+'Список деталей'!C213</f>
        <v>0</v>
      </c>
      <c r="R205" s="45">
        <f>VLOOKUP(IF(ISBLANK('Список деталей'!F213)=TRUE,7,'Список деталей'!F213),кромка,2,0)+VLOOKUP(IF(ISBLANK('Список деталей'!G213)=TRUE,7,'Список деталей'!G213),кромка,2,0)+'Список деталей'!D213</f>
        <v>0</v>
      </c>
      <c r="S205" s="42">
        <f>IF('Список деталей'!H213="",0,1)+IF('Список деталей'!I213="",0,1)+'Список деталей'!C213</f>
        <v>0</v>
      </c>
      <c r="T205" s="42">
        <f>IF('Список деталей'!F213="",0,1)+IF('Список деталей'!G213="",0,1)+'Список деталей'!D213</f>
        <v>0</v>
      </c>
      <c r="U205" s="3" t="str">
        <f>IF(ISBLANK('Список деталей'!K213),"",'Список деталей'!K213)</f>
        <v/>
      </c>
      <c r="V205" s="3" t="str">
        <f>IF(AND('Список деталей'!C213&gt;849,'Список деталей'!D213&gt;849)=TRUE,1*'Список деталей'!E213,"")</f>
        <v/>
      </c>
    </row>
    <row r="206" spans="1:22" x14ac:dyDescent="0.45">
      <c r="A206" s="3" t="str">
        <f>IF(ISNUMBER('Список деталей'!A214), 'Список деталей'!A214, "")</f>
        <v/>
      </c>
      <c r="B206" s="30" t="str">
        <f>IF(ISBLANK('Список деталей'!B214),"",'Список деталей'!B214)</f>
        <v/>
      </c>
      <c r="C206" s="3" t="str">
        <f>IF(ISNUMBER('Список деталей'!C214), $W$4,"")</f>
        <v/>
      </c>
      <c r="D206" s="3" t="str">
        <f>IF(ISNUMBER('Список деталей'!C214), 'Список деталей'!$I$4,"")</f>
        <v/>
      </c>
      <c r="E206" s="24" t="str">
        <f>IF(ISNUMBER('Список деталей'!E214), 'Список деталей'!E214, "")</f>
        <v/>
      </c>
      <c r="F206" s="24" t="str">
        <f>IF(ISNUMBER('Список деталей'!C214), 'Список деталей'!C214, "")</f>
        <v/>
      </c>
      <c r="G206" s="24" t="str">
        <f>IF(ISNUMBER('Список деталей'!D214), 'Список деталей'!D214, "")</f>
        <v/>
      </c>
      <c r="H206" s="3" t="str">
        <f t="shared" si="3"/>
        <v xml:space="preserve">    </v>
      </c>
      <c r="I206" s="3" t="str">
        <f>IF(ISBLANK('Список деталей'!F214),"",VLOOKUP('Список деталей'!F214,обозначениКромки,4,0))</f>
        <v/>
      </c>
      <c r="J206" s="25" t="str">
        <f>IF(ISBLANK('Список деталей'!G214),"",VLOOKUP('Список деталей'!G214,обозначениКромки,4,0))</f>
        <v/>
      </c>
      <c r="K206" s="25" t="str">
        <f>IF(ISBLANK('Список деталей'!H214),"",VLOOKUP('Список деталей'!H214,обозначениКромки,4,0))</f>
        <v/>
      </c>
      <c r="L206" s="25" t="str">
        <f>IF(ISBLANK('Список деталей'!I214),"",VLOOKUP('Список деталей'!I214,обозначениКромки,4,0))</f>
        <v/>
      </c>
      <c r="M206" s="24" t="str">
        <f>IF(ISBLANK('Список деталей'!Y214),"",('Список деталей'!Y214))</f>
        <v/>
      </c>
      <c r="N206" s="3" t="str">
        <f>IF(ISBLANK('Список деталей'!Z214),"",('Список деталей'!Z214))</f>
        <v/>
      </c>
      <c r="O206" s="3" t="str">
        <f>IF(ISBLANK('Список деталей'!AA214),"",('Список деталей'!AA214))</f>
        <v/>
      </c>
      <c r="P206" s="3" t="str">
        <f>IF(ISBLANK('Список деталей'!AB214),"",('Список деталей'!AB214))</f>
        <v/>
      </c>
      <c r="Q206" s="45">
        <f>VLOOKUP(IF(ISBLANK('Список деталей'!H214)=TRUE,7,'Список деталей'!H214),кромка,2,0)+VLOOKUP(IF(ISBLANK('Список деталей'!I214)=TRUE,7,'Список деталей'!I214),кромка,2,0)+'Список деталей'!C214</f>
        <v>0</v>
      </c>
      <c r="R206" s="45">
        <f>VLOOKUP(IF(ISBLANK('Список деталей'!F214)=TRUE,7,'Список деталей'!F214),кромка,2,0)+VLOOKUP(IF(ISBLANK('Список деталей'!G214)=TRUE,7,'Список деталей'!G214),кромка,2,0)+'Список деталей'!D214</f>
        <v>0</v>
      </c>
      <c r="S206" s="42">
        <f>IF('Список деталей'!H214="",0,1)+IF('Список деталей'!I214="",0,1)+'Список деталей'!C214</f>
        <v>0</v>
      </c>
      <c r="T206" s="42">
        <f>IF('Список деталей'!F214="",0,1)+IF('Список деталей'!G214="",0,1)+'Список деталей'!D214</f>
        <v>0</v>
      </c>
      <c r="U206" s="3" t="str">
        <f>IF(ISBLANK('Список деталей'!K214),"",'Список деталей'!K214)</f>
        <v/>
      </c>
      <c r="V206" s="3" t="str">
        <f>IF(AND('Список деталей'!C214&gt;849,'Список деталей'!D214&gt;849)=TRUE,1*'Список деталей'!E214,"")</f>
        <v/>
      </c>
    </row>
    <row r="207" spans="1:22" x14ac:dyDescent="0.45">
      <c r="A207" s="3" t="str">
        <f>IF(ISNUMBER('Список деталей'!A215), 'Список деталей'!A215, "")</f>
        <v/>
      </c>
      <c r="B207" s="30" t="str">
        <f>IF(ISBLANK('Список деталей'!B215),"",'Список деталей'!B215)</f>
        <v/>
      </c>
      <c r="C207" s="3" t="str">
        <f>IF(ISNUMBER('Список деталей'!C215), $W$4,"")</f>
        <v/>
      </c>
      <c r="D207" s="3" t="str">
        <f>IF(ISNUMBER('Список деталей'!C215), 'Список деталей'!$I$4,"")</f>
        <v/>
      </c>
      <c r="E207" s="24" t="str">
        <f>IF(ISNUMBER('Список деталей'!E215), 'Список деталей'!E215, "")</f>
        <v/>
      </c>
      <c r="F207" s="24" t="str">
        <f>IF(ISNUMBER('Список деталей'!C215), 'Список деталей'!C215, "")</f>
        <v/>
      </c>
      <c r="G207" s="24" t="str">
        <f>IF(ISNUMBER('Список деталей'!D215), 'Список деталей'!D215, "")</f>
        <v/>
      </c>
      <c r="H207" s="3" t="str">
        <f t="shared" si="3"/>
        <v xml:space="preserve">    </v>
      </c>
      <c r="I207" s="3" t="str">
        <f>IF(ISBLANK('Список деталей'!F215),"",VLOOKUP('Список деталей'!F215,обозначениКромки,4,0))</f>
        <v/>
      </c>
      <c r="J207" s="25" t="str">
        <f>IF(ISBLANK('Список деталей'!G215),"",VLOOKUP('Список деталей'!G215,обозначениКромки,4,0))</f>
        <v/>
      </c>
      <c r="K207" s="25" t="str">
        <f>IF(ISBLANK('Список деталей'!H215),"",VLOOKUP('Список деталей'!H215,обозначениКромки,4,0))</f>
        <v/>
      </c>
      <c r="L207" s="25" t="str">
        <f>IF(ISBLANK('Список деталей'!I215),"",VLOOKUP('Список деталей'!I215,обозначениКромки,4,0))</f>
        <v/>
      </c>
      <c r="M207" s="24" t="str">
        <f>IF(ISBLANK('Список деталей'!Y215),"",('Список деталей'!Y215))</f>
        <v/>
      </c>
      <c r="N207" s="3" t="str">
        <f>IF(ISBLANK('Список деталей'!Z215),"",('Список деталей'!Z215))</f>
        <v/>
      </c>
      <c r="O207" s="3" t="str">
        <f>IF(ISBLANK('Список деталей'!AA215),"",('Список деталей'!AA215))</f>
        <v/>
      </c>
      <c r="P207" s="3" t="str">
        <f>IF(ISBLANK('Список деталей'!AB215),"",('Список деталей'!AB215))</f>
        <v/>
      </c>
      <c r="Q207" s="45">
        <f>VLOOKUP(IF(ISBLANK('Список деталей'!H215)=TRUE,7,'Список деталей'!H215),кромка,2,0)+VLOOKUP(IF(ISBLANK('Список деталей'!I215)=TRUE,7,'Список деталей'!I215),кромка,2,0)+'Список деталей'!C215</f>
        <v>0</v>
      </c>
      <c r="R207" s="45">
        <f>VLOOKUP(IF(ISBLANK('Список деталей'!F215)=TRUE,7,'Список деталей'!F215),кромка,2,0)+VLOOKUP(IF(ISBLANK('Список деталей'!G215)=TRUE,7,'Список деталей'!G215),кромка,2,0)+'Список деталей'!D215</f>
        <v>0</v>
      </c>
      <c r="S207" s="42">
        <f>IF('Список деталей'!H215="",0,1)+IF('Список деталей'!I215="",0,1)+'Список деталей'!C215</f>
        <v>0</v>
      </c>
      <c r="T207" s="42">
        <f>IF('Список деталей'!F215="",0,1)+IF('Список деталей'!G215="",0,1)+'Список деталей'!D215</f>
        <v>0</v>
      </c>
      <c r="U207" s="3" t="str">
        <f>IF(ISBLANK('Список деталей'!K215),"",'Список деталей'!K215)</f>
        <v/>
      </c>
      <c r="V207" s="3" t="str">
        <f>IF(AND('Список деталей'!C215&gt;849,'Список деталей'!D215&gt;849)=TRUE,1*'Список деталей'!E215,"")</f>
        <v/>
      </c>
    </row>
    <row r="208" spans="1:22" x14ac:dyDescent="0.45">
      <c r="A208" s="3" t="str">
        <f>IF(ISNUMBER('Список деталей'!A216), 'Список деталей'!A216, "")</f>
        <v/>
      </c>
      <c r="B208" s="30" t="str">
        <f>IF(ISBLANK('Список деталей'!B216),"",'Список деталей'!B216)</f>
        <v/>
      </c>
      <c r="C208" s="3" t="str">
        <f>IF(ISNUMBER('Список деталей'!C216), $W$4,"")</f>
        <v/>
      </c>
      <c r="D208" s="3" t="str">
        <f>IF(ISNUMBER('Список деталей'!C216), 'Список деталей'!$I$4,"")</f>
        <v/>
      </c>
      <c r="E208" s="24" t="str">
        <f>IF(ISNUMBER('Список деталей'!E216), 'Список деталей'!E216, "")</f>
        <v/>
      </c>
      <c r="F208" s="24" t="str">
        <f>IF(ISNUMBER('Список деталей'!C216), 'Список деталей'!C216, "")</f>
        <v/>
      </c>
      <c r="G208" s="24" t="str">
        <f>IF(ISNUMBER('Список деталей'!D216), 'Список деталей'!D216, "")</f>
        <v/>
      </c>
      <c r="H208" s="3" t="str">
        <f t="shared" si="3"/>
        <v xml:space="preserve">    </v>
      </c>
      <c r="I208" s="3" t="str">
        <f>IF(ISBLANK('Список деталей'!F216),"",VLOOKUP('Список деталей'!F216,обозначениКромки,4,0))</f>
        <v/>
      </c>
      <c r="J208" s="25" t="str">
        <f>IF(ISBLANK('Список деталей'!G216),"",VLOOKUP('Список деталей'!G216,обозначениКромки,4,0))</f>
        <v/>
      </c>
      <c r="K208" s="25" t="str">
        <f>IF(ISBLANK('Список деталей'!H216),"",VLOOKUP('Список деталей'!H216,обозначениКромки,4,0))</f>
        <v/>
      </c>
      <c r="L208" s="25" t="str">
        <f>IF(ISBLANK('Список деталей'!I216),"",VLOOKUP('Список деталей'!I216,обозначениКромки,4,0))</f>
        <v/>
      </c>
      <c r="M208" s="24" t="str">
        <f>IF(ISBLANK('Список деталей'!Y216),"",('Список деталей'!Y216))</f>
        <v/>
      </c>
      <c r="N208" s="3" t="str">
        <f>IF(ISBLANK('Список деталей'!Z216),"",('Список деталей'!Z216))</f>
        <v/>
      </c>
      <c r="O208" s="3" t="str">
        <f>IF(ISBLANK('Список деталей'!AA216),"",('Список деталей'!AA216))</f>
        <v/>
      </c>
      <c r="P208" s="3" t="str">
        <f>IF(ISBLANK('Список деталей'!AB216),"",('Список деталей'!AB216))</f>
        <v/>
      </c>
      <c r="Q208" s="45">
        <f>VLOOKUP(IF(ISBLANK('Список деталей'!H216)=TRUE,7,'Список деталей'!H216),кромка,2,0)+VLOOKUP(IF(ISBLANK('Список деталей'!I216)=TRUE,7,'Список деталей'!I216),кромка,2,0)+'Список деталей'!C216</f>
        <v>0</v>
      </c>
      <c r="R208" s="45">
        <f>VLOOKUP(IF(ISBLANK('Список деталей'!F216)=TRUE,7,'Список деталей'!F216),кромка,2,0)+VLOOKUP(IF(ISBLANK('Список деталей'!G216)=TRUE,7,'Список деталей'!G216),кромка,2,0)+'Список деталей'!D216</f>
        <v>0</v>
      </c>
      <c r="S208" s="42">
        <f>IF('Список деталей'!H216="",0,1)+IF('Список деталей'!I216="",0,1)+'Список деталей'!C216</f>
        <v>0</v>
      </c>
      <c r="T208" s="42">
        <f>IF('Список деталей'!F216="",0,1)+IF('Список деталей'!G216="",0,1)+'Список деталей'!D216</f>
        <v>0</v>
      </c>
      <c r="U208" s="3" t="str">
        <f>IF(ISBLANK('Список деталей'!K216),"",'Список деталей'!K216)</f>
        <v/>
      </c>
      <c r="V208" s="3" t="str">
        <f>IF(AND('Список деталей'!C216&gt;849,'Список деталей'!D216&gt;849)=TRUE,1*'Список деталей'!E216,"")</f>
        <v/>
      </c>
    </row>
    <row r="209" spans="1:22" x14ac:dyDescent="0.45">
      <c r="A209" s="3" t="str">
        <f>IF(ISNUMBER('Список деталей'!A217), 'Список деталей'!A217, "")</f>
        <v/>
      </c>
      <c r="B209" s="30" t="str">
        <f>IF(ISBLANK('Список деталей'!B217),"",'Список деталей'!B217)</f>
        <v/>
      </c>
      <c r="C209" s="3" t="str">
        <f>IF(ISNUMBER('Список деталей'!C217), $W$4,"")</f>
        <v/>
      </c>
      <c r="D209" s="3" t="str">
        <f>IF(ISNUMBER('Список деталей'!C217), 'Список деталей'!$I$4,"")</f>
        <v/>
      </c>
      <c r="E209" s="24" t="str">
        <f>IF(ISNUMBER('Список деталей'!E217), 'Список деталей'!E217, "")</f>
        <v/>
      </c>
      <c r="F209" s="24" t="str">
        <f>IF(ISNUMBER('Список деталей'!C217), 'Список деталей'!C217, "")</f>
        <v/>
      </c>
      <c r="G209" s="24" t="str">
        <f>IF(ISNUMBER('Список деталей'!D217), 'Список деталей'!D217, "")</f>
        <v/>
      </c>
      <c r="H209" s="3" t="str">
        <f t="shared" si="3"/>
        <v xml:space="preserve">    </v>
      </c>
      <c r="I209" s="3" t="str">
        <f>IF(ISBLANK('Список деталей'!F217),"",VLOOKUP('Список деталей'!F217,обозначениКромки,4,0))</f>
        <v/>
      </c>
      <c r="J209" s="25" t="str">
        <f>IF(ISBLANK('Список деталей'!G217),"",VLOOKUP('Список деталей'!G217,обозначениКромки,4,0))</f>
        <v/>
      </c>
      <c r="K209" s="25" t="str">
        <f>IF(ISBLANK('Список деталей'!H217),"",VLOOKUP('Список деталей'!H217,обозначениКромки,4,0))</f>
        <v/>
      </c>
      <c r="L209" s="25" t="str">
        <f>IF(ISBLANK('Список деталей'!I217),"",VLOOKUP('Список деталей'!I217,обозначениКромки,4,0))</f>
        <v/>
      </c>
      <c r="M209" s="24" t="str">
        <f>IF(ISBLANK('Список деталей'!Y217),"",('Список деталей'!Y217))</f>
        <v/>
      </c>
      <c r="N209" s="3" t="str">
        <f>IF(ISBLANK('Список деталей'!Z217),"",('Список деталей'!Z217))</f>
        <v/>
      </c>
      <c r="O209" s="3" t="str">
        <f>IF(ISBLANK('Список деталей'!AA217),"",('Список деталей'!AA217))</f>
        <v/>
      </c>
      <c r="P209" s="3" t="str">
        <f>IF(ISBLANK('Список деталей'!AB217),"",('Список деталей'!AB217))</f>
        <v/>
      </c>
      <c r="Q209" s="45">
        <f>VLOOKUP(IF(ISBLANK('Список деталей'!H217)=TRUE,7,'Список деталей'!H217),кромка,2,0)+VLOOKUP(IF(ISBLANK('Список деталей'!I217)=TRUE,7,'Список деталей'!I217),кромка,2,0)+'Список деталей'!C217</f>
        <v>0</v>
      </c>
      <c r="R209" s="45">
        <f>VLOOKUP(IF(ISBLANK('Список деталей'!F217)=TRUE,7,'Список деталей'!F217),кромка,2,0)+VLOOKUP(IF(ISBLANK('Список деталей'!G217)=TRUE,7,'Список деталей'!G217),кромка,2,0)+'Список деталей'!D217</f>
        <v>0</v>
      </c>
      <c r="S209" s="42">
        <f>IF('Список деталей'!H217="",0,1)+IF('Список деталей'!I217="",0,1)+'Список деталей'!C217</f>
        <v>0</v>
      </c>
      <c r="T209" s="42">
        <f>IF('Список деталей'!F217="",0,1)+IF('Список деталей'!G217="",0,1)+'Список деталей'!D217</f>
        <v>0</v>
      </c>
      <c r="U209" s="3" t="str">
        <f>IF(ISBLANK('Список деталей'!K217),"",'Список деталей'!K217)</f>
        <v/>
      </c>
      <c r="V209" s="3" t="str">
        <f>IF(AND('Список деталей'!C217&gt;849,'Список деталей'!D217&gt;849)=TRUE,1*'Список деталей'!E217,"")</f>
        <v/>
      </c>
    </row>
    <row r="210" spans="1:22" x14ac:dyDescent="0.45">
      <c r="A210" s="3" t="str">
        <f>IF(ISNUMBER('Список деталей'!A218), 'Список деталей'!A218, "")</f>
        <v/>
      </c>
      <c r="B210" s="30" t="str">
        <f>IF(ISBLANK('Список деталей'!B218),"",'Список деталей'!B218)</f>
        <v/>
      </c>
      <c r="C210" s="3" t="str">
        <f>IF(ISNUMBER('Список деталей'!C218), $W$4,"")</f>
        <v/>
      </c>
      <c r="D210" s="3" t="str">
        <f>IF(ISNUMBER('Список деталей'!C218), 'Список деталей'!$I$4,"")</f>
        <v/>
      </c>
      <c r="E210" s="24" t="str">
        <f>IF(ISNUMBER('Список деталей'!E218), 'Список деталей'!E218, "")</f>
        <v/>
      </c>
      <c r="F210" s="24" t="str">
        <f>IF(ISNUMBER('Список деталей'!C218), 'Список деталей'!C218, "")</f>
        <v/>
      </c>
      <c r="G210" s="24" t="str">
        <f>IF(ISNUMBER('Список деталей'!D218), 'Список деталей'!D218, "")</f>
        <v/>
      </c>
      <c r="H210" s="3" t="str">
        <f t="shared" si="3"/>
        <v xml:space="preserve">    </v>
      </c>
      <c r="I210" s="3" t="str">
        <f>IF(ISBLANK('Список деталей'!F218),"",VLOOKUP('Список деталей'!F218,обозначениКромки,4,0))</f>
        <v/>
      </c>
      <c r="J210" s="25" t="str">
        <f>IF(ISBLANK('Список деталей'!G218),"",VLOOKUP('Список деталей'!G218,обозначениКромки,4,0))</f>
        <v/>
      </c>
      <c r="K210" s="25" t="str">
        <f>IF(ISBLANK('Список деталей'!H218),"",VLOOKUP('Список деталей'!H218,обозначениКромки,4,0))</f>
        <v/>
      </c>
      <c r="L210" s="25" t="str">
        <f>IF(ISBLANK('Список деталей'!I218),"",VLOOKUP('Список деталей'!I218,обозначениКромки,4,0))</f>
        <v/>
      </c>
      <c r="M210" s="24" t="str">
        <f>IF(ISBLANK('Список деталей'!Y218),"",('Список деталей'!Y218))</f>
        <v/>
      </c>
      <c r="N210" s="3" t="str">
        <f>IF(ISBLANK('Список деталей'!Z218),"",('Список деталей'!Z218))</f>
        <v/>
      </c>
      <c r="O210" s="3" t="str">
        <f>IF(ISBLANK('Список деталей'!AA218),"",('Список деталей'!AA218))</f>
        <v/>
      </c>
      <c r="P210" s="3" t="str">
        <f>IF(ISBLANK('Список деталей'!AB218),"",('Список деталей'!AB218))</f>
        <v/>
      </c>
      <c r="Q210" s="45">
        <f>VLOOKUP(IF(ISBLANK('Список деталей'!H218)=TRUE,7,'Список деталей'!H218),кромка,2,0)+VLOOKUP(IF(ISBLANK('Список деталей'!I218)=TRUE,7,'Список деталей'!I218),кромка,2,0)+'Список деталей'!C218</f>
        <v>0</v>
      </c>
      <c r="R210" s="45">
        <f>VLOOKUP(IF(ISBLANK('Список деталей'!F218)=TRUE,7,'Список деталей'!F218),кромка,2,0)+VLOOKUP(IF(ISBLANK('Список деталей'!G218)=TRUE,7,'Список деталей'!G218),кромка,2,0)+'Список деталей'!D218</f>
        <v>0</v>
      </c>
      <c r="S210" s="42">
        <f>IF('Список деталей'!H218="",0,1)+IF('Список деталей'!I218="",0,1)+'Список деталей'!C218</f>
        <v>0</v>
      </c>
      <c r="T210" s="42">
        <f>IF('Список деталей'!F218="",0,1)+IF('Список деталей'!G218="",0,1)+'Список деталей'!D218</f>
        <v>0</v>
      </c>
      <c r="U210" s="3" t="str">
        <f>IF(ISBLANK('Список деталей'!K218),"",'Список деталей'!K218)</f>
        <v/>
      </c>
      <c r="V210" s="3" t="str">
        <f>IF(AND('Список деталей'!C218&gt;849,'Список деталей'!D218&gt;849)=TRUE,1*'Список деталей'!E218,"")</f>
        <v/>
      </c>
    </row>
    <row r="211" spans="1:22" x14ac:dyDescent="0.45">
      <c r="A211" s="3" t="str">
        <f>IF(ISNUMBER('Список деталей'!A219), 'Список деталей'!A219, "")</f>
        <v/>
      </c>
      <c r="B211" s="30" t="str">
        <f>IF(ISBLANK('Список деталей'!B219),"",'Список деталей'!B219)</f>
        <v/>
      </c>
      <c r="C211" s="3" t="str">
        <f>IF(ISNUMBER('Список деталей'!C219), $W$4,"")</f>
        <v/>
      </c>
      <c r="D211" s="3" t="str">
        <f>IF(ISNUMBER('Список деталей'!C219), 'Список деталей'!$I$4,"")</f>
        <v/>
      </c>
      <c r="E211" s="24" t="str">
        <f>IF(ISNUMBER('Список деталей'!E219), 'Список деталей'!E219, "")</f>
        <v/>
      </c>
      <c r="F211" s="24" t="str">
        <f>IF(ISNUMBER('Список деталей'!C219), 'Список деталей'!C219, "")</f>
        <v/>
      </c>
      <c r="G211" s="24" t="str">
        <f>IF(ISNUMBER('Список деталей'!D219), 'Список деталей'!D219, "")</f>
        <v/>
      </c>
      <c r="H211" s="3" t="str">
        <f t="shared" si="3"/>
        <v xml:space="preserve">    </v>
      </c>
      <c r="I211" s="3" t="str">
        <f>IF(ISBLANK('Список деталей'!F219),"",VLOOKUP('Список деталей'!F219,обозначениКромки,4,0))</f>
        <v/>
      </c>
      <c r="J211" s="25" t="str">
        <f>IF(ISBLANK('Список деталей'!G219),"",VLOOKUP('Список деталей'!G219,обозначениКромки,4,0))</f>
        <v/>
      </c>
      <c r="K211" s="25" t="str">
        <f>IF(ISBLANK('Список деталей'!H219),"",VLOOKUP('Список деталей'!H219,обозначениКромки,4,0))</f>
        <v/>
      </c>
      <c r="L211" s="25" t="str">
        <f>IF(ISBLANK('Список деталей'!I219),"",VLOOKUP('Список деталей'!I219,обозначениКромки,4,0))</f>
        <v/>
      </c>
      <c r="M211" s="24" t="str">
        <f>IF(ISBLANK('Список деталей'!Y219),"",('Список деталей'!Y219))</f>
        <v/>
      </c>
      <c r="N211" s="3" t="str">
        <f>IF(ISBLANK('Список деталей'!Z219),"",('Список деталей'!Z219))</f>
        <v/>
      </c>
      <c r="O211" s="3" t="str">
        <f>IF(ISBLANK('Список деталей'!AA219),"",('Список деталей'!AA219))</f>
        <v/>
      </c>
      <c r="P211" s="3" t="str">
        <f>IF(ISBLANK('Список деталей'!AB219),"",('Список деталей'!AB219))</f>
        <v/>
      </c>
      <c r="Q211" s="45">
        <f>VLOOKUP(IF(ISBLANK('Список деталей'!H219)=TRUE,7,'Список деталей'!H219),кромка,2,0)+VLOOKUP(IF(ISBLANK('Список деталей'!I219)=TRUE,7,'Список деталей'!I219),кромка,2,0)+'Список деталей'!C219</f>
        <v>0</v>
      </c>
      <c r="R211" s="45">
        <f>VLOOKUP(IF(ISBLANK('Список деталей'!F219)=TRUE,7,'Список деталей'!F219),кромка,2,0)+VLOOKUP(IF(ISBLANK('Список деталей'!G219)=TRUE,7,'Список деталей'!G219),кромка,2,0)+'Список деталей'!D219</f>
        <v>0</v>
      </c>
      <c r="S211" s="42">
        <f>IF('Список деталей'!H219="",0,1)+IF('Список деталей'!I219="",0,1)+'Список деталей'!C219</f>
        <v>0</v>
      </c>
      <c r="T211" s="42">
        <f>IF('Список деталей'!F219="",0,1)+IF('Список деталей'!G219="",0,1)+'Список деталей'!D219</f>
        <v>0</v>
      </c>
      <c r="U211" s="3" t="str">
        <f>IF(ISBLANK('Список деталей'!K219),"",'Список деталей'!K219)</f>
        <v/>
      </c>
      <c r="V211" s="3" t="str">
        <f>IF(AND('Список деталей'!C219&gt;849,'Список деталей'!D219&gt;849)=TRUE,1*'Список деталей'!E219,"")</f>
        <v/>
      </c>
    </row>
    <row r="212" spans="1:22" x14ac:dyDescent="0.45">
      <c r="A212" s="3" t="str">
        <f>IF(ISNUMBER('Список деталей'!A220), 'Список деталей'!A220, "")</f>
        <v/>
      </c>
      <c r="B212" s="30" t="str">
        <f>IF(ISBLANK('Список деталей'!B220),"",'Список деталей'!B220)</f>
        <v/>
      </c>
      <c r="C212" s="3" t="str">
        <f>IF(ISNUMBER('Список деталей'!C220), $W$4,"")</f>
        <v/>
      </c>
      <c r="D212" s="3" t="str">
        <f>IF(ISNUMBER('Список деталей'!C220), 'Список деталей'!$I$4,"")</f>
        <v/>
      </c>
      <c r="E212" s="24" t="str">
        <f>IF(ISNUMBER('Список деталей'!E220), 'Список деталей'!E220, "")</f>
        <v/>
      </c>
      <c r="F212" s="24" t="str">
        <f>IF(ISNUMBER('Список деталей'!C220), 'Список деталей'!C220, "")</f>
        <v/>
      </c>
      <c r="G212" s="24" t="str">
        <f>IF(ISNUMBER('Список деталей'!D220), 'Список деталей'!D220, "")</f>
        <v/>
      </c>
      <c r="H212" s="3" t="str">
        <f t="shared" si="3"/>
        <v xml:space="preserve">    </v>
      </c>
      <c r="I212" s="3" t="str">
        <f>IF(ISBLANK('Список деталей'!F220),"",VLOOKUP('Список деталей'!F220,обозначениКромки,4,0))</f>
        <v/>
      </c>
      <c r="J212" s="25" t="str">
        <f>IF(ISBLANK('Список деталей'!G220),"",VLOOKUP('Список деталей'!G220,обозначениКромки,4,0))</f>
        <v/>
      </c>
      <c r="K212" s="25" t="str">
        <f>IF(ISBLANK('Список деталей'!H220),"",VLOOKUP('Список деталей'!H220,обозначениКромки,4,0))</f>
        <v/>
      </c>
      <c r="L212" s="25" t="str">
        <f>IF(ISBLANK('Список деталей'!I220),"",VLOOKUP('Список деталей'!I220,обозначениКромки,4,0))</f>
        <v/>
      </c>
      <c r="M212" s="24" t="str">
        <f>IF(ISBLANK('Список деталей'!Y220),"",('Список деталей'!Y220))</f>
        <v/>
      </c>
      <c r="N212" s="3" t="str">
        <f>IF(ISBLANK('Список деталей'!Z220),"",('Список деталей'!Z220))</f>
        <v/>
      </c>
      <c r="O212" s="3" t="str">
        <f>IF(ISBLANK('Список деталей'!AA220),"",('Список деталей'!AA220))</f>
        <v/>
      </c>
      <c r="P212" s="3" t="str">
        <f>IF(ISBLANK('Список деталей'!AB220),"",('Список деталей'!AB220))</f>
        <v/>
      </c>
      <c r="Q212" s="45">
        <f>VLOOKUP(IF(ISBLANK('Список деталей'!H220)=TRUE,7,'Список деталей'!H220),кромка,2,0)+VLOOKUP(IF(ISBLANK('Список деталей'!I220)=TRUE,7,'Список деталей'!I220),кромка,2,0)+'Список деталей'!C220</f>
        <v>0</v>
      </c>
      <c r="R212" s="45">
        <f>VLOOKUP(IF(ISBLANK('Список деталей'!F220)=TRUE,7,'Список деталей'!F220),кромка,2,0)+VLOOKUP(IF(ISBLANK('Список деталей'!G220)=TRUE,7,'Список деталей'!G220),кромка,2,0)+'Список деталей'!D220</f>
        <v>0</v>
      </c>
      <c r="S212" s="42">
        <f>IF('Список деталей'!H220="",0,1)+IF('Список деталей'!I220="",0,1)+'Список деталей'!C220</f>
        <v>0</v>
      </c>
      <c r="T212" s="42">
        <f>IF('Список деталей'!F220="",0,1)+IF('Список деталей'!G220="",0,1)+'Список деталей'!D220</f>
        <v>0</v>
      </c>
      <c r="U212" s="3" t="str">
        <f>IF(ISBLANK('Список деталей'!K220),"",'Список деталей'!K220)</f>
        <v/>
      </c>
      <c r="V212" s="3" t="str">
        <f>IF(AND('Список деталей'!C220&gt;849,'Список деталей'!D220&gt;849)=TRUE,1*'Список деталей'!E220,"")</f>
        <v/>
      </c>
    </row>
    <row r="213" spans="1:22" x14ac:dyDescent="0.45">
      <c r="A213" s="3" t="str">
        <f>IF(ISNUMBER('Список деталей'!A221), 'Список деталей'!A221, "")</f>
        <v/>
      </c>
      <c r="B213" s="30" t="str">
        <f>IF(ISBLANK('Список деталей'!B221),"",'Список деталей'!B221)</f>
        <v/>
      </c>
      <c r="C213" s="3" t="str">
        <f>IF(ISNUMBER('Список деталей'!C221), $W$4,"")</f>
        <v/>
      </c>
      <c r="D213" s="3" t="str">
        <f>IF(ISNUMBER('Список деталей'!C221), 'Список деталей'!$I$4,"")</f>
        <v/>
      </c>
      <c r="E213" s="24" t="str">
        <f>IF(ISNUMBER('Список деталей'!E221), 'Список деталей'!E221, "")</f>
        <v/>
      </c>
      <c r="F213" s="24" t="str">
        <f>IF(ISNUMBER('Список деталей'!C221), 'Список деталей'!C221, "")</f>
        <v/>
      </c>
      <c r="G213" s="24" t="str">
        <f>IF(ISNUMBER('Список деталей'!D221), 'Список деталей'!D221, "")</f>
        <v/>
      </c>
      <c r="H213" s="3" t="str">
        <f t="shared" si="3"/>
        <v xml:space="preserve">    </v>
      </c>
      <c r="I213" s="3" t="str">
        <f>IF(ISBLANK('Список деталей'!F221),"",VLOOKUP('Список деталей'!F221,обозначениКромки,4,0))</f>
        <v/>
      </c>
      <c r="J213" s="25" t="str">
        <f>IF(ISBLANK('Список деталей'!G221),"",VLOOKUP('Список деталей'!G221,обозначениКромки,4,0))</f>
        <v/>
      </c>
      <c r="K213" s="25" t="str">
        <f>IF(ISBLANK('Список деталей'!H221),"",VLOOKUP('Список деталей'!H221,обозначениКромки,4,0))</f>
        <v/>
      </c>
      <c r="L213" s="25" t="str">
        <f>IF(ISBLANK('Список деталей'!I221),"",VLOOKUP('Список деталей'!I221,обозначениКромки,4,0))</f>
        <v/>
      </c>
      <c r="M213" s="24" t="str">
        <f>IF(ISBLANK('Список деталей'!Y221),"",('Список деталей'!Y221))</f>
        <v/>
      </c>
      <c r="N213" s="3" t="str">
        <f>IF(ISBLANK('Список деталей'!Z221),"",('Список деталей'!Z221))</f>
        <v/>
      </c>
      <c r="O213" s="3" t="str">
        <f>IF(ISBLANK('Список деталей'!AA221),"",('Список деталей'!AA221))</f>
        <v/>
      </c>
      <c r="P213" s="3" t="str">
        <f>IF(ISBLANK('Список деталей'!AB221),"",('Список деталей'!AB221))</f>
        <v/>
      </c>
      <c r="Q213" s="45">
        <f>VLOOKUP(IF(ISBLANK('Список деталей'!H221)=TRUE,7,'Список деталей'!H221),кромка,2,0)+VLOOKUP(IF(ISBLANK('Список деталей'!I221)=TRUE,7,'Список деталей'!I221),кромка,2,0)+'Список деталей'!C221</f>
        <v>0</v>
      </c>
      <c r="R213" s="45">
        <f>VLOOKUP(IF(ISBLANK('Список деталей'!F221)=TRUE,7,'Список деталей'!F221),кромка,2,0)+VLOOKUP(IF(ISBLANK('Список деталей'!G221)=TRUE,7,'Список деталей'!G221),кромка,2,0)+'Список деталей'!D221</f>
        <v>0</v>
      </c>
      <c r="S213" s="42">
        <f>IF('Список деталей'!H221="",0,1)+IF('Список деталей'!I221="",0,1)+'Список деталей'!C221</f>
        <v>0</v>
      </c>
      <c r="T213" s="42">
        <f>IF('Список деталей'!F221="",0,1)+IF('Список деталей'!G221="",0,1)+'Список деталей'!D221</f>
        <v>0</v>
      </c>
      <c r="U213" s="3" t="str">
        <f>IF(ISBLANK('Список деталей'!K221),"",'Список деталей'!K221)</f>
        <v/>
      </c>
      <c r="V213" s="3" t="str">
        <f>IF(AND('Список деталей'!C221&gt;849,'Список деталей'!D221&gt;849)=TRUE,1*'Список деталей'!E221,"")</f>
        <v/>
      </c>
    </row>
    <row r="214" spans="1:22" x14ac:dyDescent="0.45">
      <c r="A214" s="3" t="str">
        <f>IF(ISNUMBER('Список деталей'!A222), 'Список деталей'!A222, "")</f>
        <v/>
      </c>
      <c r="B214" s="30" t="str">
        <f>IF(ISBLANK('Список деталей'!B222),"",'Список деталей'!B222)</f>
        <v/>
      </c>
      <c r="C214" s="3" t="str">
        <f>IF(ISNUMBER('Список деталей'!C222), $W$4,"")</f>
        <v/>
      </c>
      <c r="D214" s="3" t="str">
        <f>IF(ISNUMBER('Список деталей'!C222), 'Список деталей'!$I$4,"")</f>
        <v/>
      </c>
      <c r="E214" s="24" t="str">
        <f>IF(ISNUMBER('Список деталей'!E222), 'Список деталей'!E222, "")</f>
        <v/>
      </c>
      <c r="F214" s="24" t="str">
        <f>IF(ISNUMBER('Список деталей'!C222), 'Список деталей'!C222, "")</f>
        <v/>
      </c>
      <c r="G214" s="24" t="str">
        <f>IF(ISNUMBER('Список деталей'!D222), 'Список деталей'!D222, "")</f>
        <v/>
      </c>
      <c r="H214" s="3" t="str">
        <f t="shared" si="3"/>
        <v xml:space="preserve">    </v>
      </c>
      <c r="I214" s="3" t="str">
        <f>IF(ISBLANK('Список деталей'!F222),"",VLOOKUP('Список деталей'!F222,обозначениКромки,4,0))</f>
        <v/>
      </c>
      <c r="J214" s="25" t="str">
        <f>IF(ISBLANK('Список деталей'!G222),"",VLOOKUP('Список деталей'!G222,обозначениКромки,4,0))</f>
        <v/>
      </c>
      <c r="K214" s="25" t="str">
        <f>IF(ISBLANK('Список деталей'!H222),"",VLOOKUP('Список деталей'!H222,обозначениКромки,4,0))</f>
        <v/>
      </c>
      <c r="L214" s="25" t="str">
        <f>IF(ISBLANK('Список деталей'!I222),"",VLOOKUP('Список деталей'!I222,обозначениКромки,4,0))</f>
        <v/>
      </c>
      <c r="M214" s="24" t="str">
        <f>IF(ISBLANK('Список деталей'!Y222),"",('Список деталей'!Y222))</f>
        <v/>
      </c>
      <c r="N214" s="3" t="str">
        <f>IF(ISBLANK('Список деталей'!Z222),"",('Список деталей'!Z222))</f>
        <v/>
      </c>
      <c r="O214" s="3" t="str">
        <f>IF(ISBLANK('Список деталей'!AA222),"",('Список деталей'!AA222))</f>
        <v/>
      </c>
      <c r="P214" s="3" t="str">
        <f>IF(ISBLANK('Список деталей'!AB222),"",('Список деталей'!AB222))</f>
        <v/>
      </c>
      <c r="Q214" s="45">
        <f>VLOOKUP(IF(ISBLANK('Список деталей'!H222)=TRUE,7,'Список деталей'!H222),кромка,2,0)+VLOOKUP(IF(ISBLANK('Список деталей'!I222)=TRUE,7,'Список деталей'!I222),кромка,2,0)+'Список деталей'!C222</f>
        <v>0</v>
      </c>
      <c r="R214" s="45">
        <f>VLOOKUP(IF(ISBLANK('Список деталей'!F222)=TRUE,7,'Список деталей'!F222),кромка,2,0)+VLOOKUP(IF(ISBLANK('Список деталей'!G222)=TRUE,7,'Список деталей'!G222),кромка,2,0)+'Список деталей'!D222</f>
        <v>0</v>
      </c>
      <c r="S214" s="42">
        <f>IF('Список деталей'!H222="",0,1)+IF('Список деталей'!I222="",0,1)+'Список деталей'!C222</f>
        <v>0</v>
      </c>
      <c r="T214" s="42">
        <f>IF('Список деталей'!F222="",0,1)+IF('Список деталей'!G222="",0,1)+'Список деталей'!D222</f>
        <v>0</v>
      </c>
      <c r="U214" s="3" t="str">
        <f>IF(ISBLANK('Список деталей'!K222),"",'Список деталей'!K222)</f>
        <v/>
      </c>
      <c r="V214" s="3" t="str">
        <f>IF(AND('Список деталей'!C222&gt;849,'Список деталей'!D222&gt;849)=TRUE,1*'Список деталей'!E222,"")</f>
        <v/>
      </c>
    </row>
    <row r="215" spans="1:22" x14ac:dyDescent="0.45">
      <c r="A215" s="3" t="str">
        <f>IF(ISNUMBER('Список деталей'!A223), 'Список деталей'!A223, "")</f>
        <v/>
      </c>
      <c r="B215" s="30" t="str">
        <f>IF(ISBLANK('Список деталей'!B223),"",'Список деталей'!B223)</f>
        <v/>
      </c>
      <c r="C215" s="3" t="str">
        <f>IF(ISNUMBER('Список деталей'!C223), $W$4,"")</f>
        <v/>
      </c>
      <c r="D215" s="3" t="str">
        <f>IF(ISNUMBER('Список деталей'!C223), 'Список деталей'!$I$4,"")</f>
        <v/>
      </c>
      <c r="E215" s="24" t="str">
        <f>IF(ISNUMBER('Список деталей'!E223), 'Список деталей'!E223, "")</f>
        <v/>
      </c>
      <c r="F215" s="24" t="str">
        <f>IF(ISNUMBER('Список деталей'!C223), 'Список деталей'!C223, "")</f>
        <v/>
      </c>
      <c r="G215" s="24" t="str">
        <f>IF(ISNUMBER('Список деталей'!D223), 'Список деталей'!D223, "")</f>
        <v/>
      </c>
      <c r="H215" s="3" t="str">
        <f t="shared" si="3"/>
        <v xml:space="preserve">    </v>
      </c>
      <c r="I215" s="3" t="str">
        <f>IF(ISBLANK('Список деталей'!F223),"",VLOOKUP('Список деталей'!F223,обозначениКромки,4,0))</f>
        <v/>
      </c>
      <c r="J215" s="25" t="str">
        <f>IF(ISBLANK('Список деталей'!G223),"",VLOOKUP('Список деталей'!G223,обозначениКромки,4,0))</f>
        <v/>
      </c>
      <c r="K215" s="25" t="str">
        <f>IF(ISBLANK('Список деталей'!H223),"",VLOOKUP('Список деталей'!H223,обозначениКромки,4,0))</f>
        <v/>
      </c>
      <c r="L215" s="25" t="str">
        <f>IF(ISBLANK('Список деталей'!I223),"",VLOOKUP('Список деталей'!I223,обозначениКромки,4,0))</f>
        <v/>
      </c>
      <c r="M215" s="24" t="str">
        <f>IF(ISBLANK('Список деталей'!Y223),"",('Список деталей'!Y223))</f>
        <v/>
      </c>
      <c r="N215" s="3" t="str">
        <f>IF(ISBLANK('Список деталей'!Z223),"",('Список деталей'!Z223))</f>
        <v/>
      </c>
      <c r="O215" s="3" t="str">
        <f>IF(ISBLANK('Список деталей'!AA223),"",('Список деталей'!AA223))</f>
        <v/>
      </c>
      <c r="P215" s="3" t="str">
        <f>IF(ISBLANK('Список деталей'!AB223),"",('Список деталей'!AB223))</f>
        <v/>
      </c>
      <c r="Q215" s="45">
        <f>VLOOKUP(IF(ISBLANK('Список деталей'!H223)=TRUE,7,'Список деталей'!H223),кромка,2,0)+VLOOKUP(IF(ISBLANK('Список деталей'!I223)=TRUE,7,'Список деталей'!I223),кромка,2,0)+'Список деталей'!C223</f>
        <v>0</v>
      </c>
      <c r="R215" s="45">
        <f>VLOOKUP(IF(ISBLANK('Список деталей'!F223)=TRUE,7,'Список деталей'!F223),кромка,2,0)+VLOOKUP(IF(ISBLANK('Список деталей'!G223)=TRUE,7,'Список деталей'!G223),кромка,2,0)+'Список деталей'!D223</f>
        <v>0</v>
      </c>
      <c r="S215" s="42">
        <f>IF('Список деталей'!H223="",0,1)+IF('Список деталей'!I223="",0,1)+'Список деталей'!C223</f>
        <v>0</v>
      </c>
      <c r="T215" s="42">
        <f>IF('Список деталей'!F223="",0,1)+IF('Список деталей'!G223="",0,1)+'Список деталей'!D223</f>
        <v>0</v>
      </c>
      <c r="U215" s="3" t="str">
        <f>IF(ISBLANK('Список деталей'!K223),"",'Список деталей'!K223)</f>
        <v/>
      </c>
      <c r="V215" s="3" t="str">
        <f>IF(AND('Список деталей'!C223&gt;849,'Список деталей'!D223&gt;849)=TRUE,1*'Список деталей'!E223,"")</f>
        <v/>
      </c>
    </row>
    <row r="216" spans="1:22" x14ac:dyDescent="0.45">
      <c r="A216" s="3" t="str">
        <f>IF(ISNUMBER('Список деталей'!A224), 'Список деталей'!A224, "")</f>
        <v/>
      </c>
      <c r="B216" s="30" t="str">
        <f>IF(ISBLANK('Список деталей'!B224),"",'Список деталей'!B224)</f>
        <v/>
      </c>
      <c r="C216" s="3" t="str">
        <f>IF(ISNUMBER('Список деталей'!C224), $W$4,"")</f>
        <v/>
      </c>
      <c r="D216" s="3" t="str">
        <f>IF(ISNUMBER('Список деталей'!C224), 'Список деталей'!$I$4,"")</f>
        <v/>
      </c>
      <c r="E216" s="24" t="str">
        <f>IF(ISNUMBER('Список деталей'!E224), 'Список деталей'!E224, "")</f>
        <v/>
      </c>
      <c r="F216" s="24" t="str">
        <f>IF(ISNUMBER('Список деталей'!C224), 'Список деталей'!C224, "")</f>
        <v/>
      </c>
      <c r="G216" s="24" t="str">
        <f>IF(ISNUMBER('Список деталей'!D224), 'Список деталей'!D224, "")</f>
        <v/>
      </c>
      <c r="H216" s="3" t="str">
        <f t="shared" si="3"/>
        <v xml:space="preserve">    </v>
      </c>
      <c r="I216" s="3" t="str">
        <f>IF(ISBLANK('Список деталей'!F224),"",VLOOKUP('Список деталей'!F224,обозначениКромки,4,0))</f>
        <v/>
      </c>
      <c r="J216" s="25" t="str">
        <f>IF(ISBLANK('Список деталей'!G224),"",VLOOKUP('Список деталей'!G224,обозначениКромки,4,0))</f>
        <v/>
      </c>
      <c r="K216" s="25" t="str">
        <f>IF(ISBLANK('Список деталей'!H224),"",VLOOKUP('Список деталей'!H224,обозначениКромки,4,0))</f>
        <v/>
      </c>
      <c r="L216" s="25" t="str">
        <f>IF(ISBLANK('Список деталей'!I224),"",VLOOKUP('Список деталей'!I224,обозначениКромки,4,0))</f>
        <v/>
      </c>
      <c r="M216" s="24" t="str">
        <f>IF(ISBLANK('Список деталей'!Y224),"",('Список деталей'!Y224))</f>
        <v/>
      </c>
      <c r="N216" s="3" t="str">
        <f>IF(ISBLANK('Список деталей'!Z224),"",('Список деталей'!Z224))</f>
        <v/>
      </c>
      <c r="O216" s="3" t="str">
        <f>IF(ISBLANK('Список деталей'!AA224),"",('Список деталей'!AA224))</f>
        <v/>
      </c>
      <c r="P216" s="3" t="str">
        <f>IF(ISBLANK('Список деталей'!AB224),"",('Список деталей'!AB224))</f>
        <v/>
      </c>
      <c r="Q216" s="45">
        <f>VLOOKUP(IF(ISBLANK('Список деталей'!H224)=TRUE,7,'Список деталей'!H224),кромка,2,0)+VLOOKUP(IF(ISBLANK('Список деталей'!I224)=TRUE,7,'Список деталей'!I224),кромка,2,0)+'Список деталей'!C224</f>
        <v>0</v>
      </c>
      <c r="R216" s="45">
        <f>VLOOKUP(IF(ISBLANK('Список деталей'!F224)=TRUE,7,'Список деталей'!F224),кромка,2,0)+VLOOKUP(IF(ISBLANK('Список деталей'!G224)=TRUE,7,'Список деталей'!G224),кромка,2,0)+'Список деталей'!D224</f>
        <v>0</v>
      </c>
      <c r="S216" s="42">
        <f>IF('Список деталей'!H224="",0,1)+IF('Список деталей'!I224="",0,1)+'Список деталей'!C224</f>
        <v>0</v>
      </c>
      <c r="T216" s="42">
        <f>IF('Список деталей'!F224="",0,1)+IF('Список деталей'!G224="",0,1)+'Список деталей'!D224</f>
        <v>0</v>
      </c>
      <c r="U216" s="3" t="str">
        <f>IF(ISBLANK('Список деталей'!K224),"",'Список деталей'!K224)</f>
        <v/>
      </c>
      <c r="V216" s="3" t="str">
        <f>IF(AND('Список деталей'!C224&gt;849,'Список деталей'!D224&gt;849)=TRUE,1*'Список деталей'!E224,"")</f>
        <v/>
      </c>
    </row>
    <row r="217" spans="1:22" x14ac:dyDescent="0.45">
      <c r="A217" s="3" t="str">
        <f>IF(ISNUMBER('Список деталей'!A225), 'Список деталей'!A225, "")</f>
        <v/>
      </c>
      <c r="B217" s="30" t="str">
        <f>IF(ISBLANK('Список деталей'!B225),"",'Список деталей'!B225)</f>
        <v/>
      </c>
      <c r="C217" s="3" t="str">
        <f>IF(ISNUMBER('Список деталей'!C225), $W$4,"")</f>
        <v/>
      </c>
      <c r="D217" s="3" t="str">
        <f>IF(ISNUMBER('Список деталей'!C225), 'Список деталей'!$I$4,"")</f>
        <v/>
      </c>
      <c r="E217" s="24" t="str">
        <f>IF(ISNUMBER('Список деталей'!E225), 'Список деталей'!E225, "")</f>
        <v/>
      </c>
      <c r="F217" s="24" t="str">
        <f>IF(ISNUMBER('Список деталей'!C225), 'Список деталей'!C225, "")</f>
        <v/>
      </c>
      <c r="G217" s="24" t="str">
        <f>IF(ISNUMBER('Список деталей'!D225), 'Список деталей'!D225, "")</f>
        <v/>
      </c>
      <c r="H217" s="3" t="str">
        <f t="shared" si="3"/>
        <v xml:space="preserve">    </v>
      </c>
      <c r="I217" s="3" t="str">
        <f>IF(ISBLANK('Список деталей'!F225),"",VLOOKUP('Список деталей'!F225,обозначениКромки,4,0))</f>
        <v/>
      </c>
      <c r="J217" s="25" t="str">
        <f>IF(ISBLANK('Список деталей'!G225),"",VLOOKUP('Список деталей'!G225,обозначениКромки,4,0))</f>
        <v/>
      </c>
      <c r="K217" s="25" t="str">
        <f>IF(ISBLANK('Список деталей'!H225),"",VLOOKUP('Список деталей'!H225,обозначениКромки,4,0))</f>
        <v/>
      </c>
      <c r="L217" s="25" t="str">
        <f>IF(ISBLANK('Список деталей'!I225),"",VLOOKUP('Список деталей'!I225,обозначениКромки,4,0))</f>
        <v/>
      </c>
      <c r="M217" s="24" t="str">
        <f>IF(ISBLANK('Список деталей'!Y225),"",('Список деталей'!Y225))</f>
        <v/>
      </c>
      <c r="N217" s="3" t="str">
        <f>IF(ISBLANK('Список деталей'!Z225),"",('Список деталей'!Z225))</f>
        <v/>
      </c>
      <c r="O217" s="3" t="str">
        <f>IF(ISBLANK('Список деталей'!AA225),"",('Список деталей'!AA225))</f>
        <v/>
      </c>
      <c r="P217" s="3" t="str">
        <f>IF(ISBLANK('Список деталей'!AB225),"",('Список деталей'!AB225))</f>
        <v/>
      </c>
      <c r="Q217" s="45">
        <f>VLOOKUP(IF(ISBLANK('Список деталей'!H225)=TRUE,7,'Список деталей'!H225),кромка,2,0)+VLOOKUP(IF(ISBLANK('Список деталей'!I225)=TRUE,7,'Список деталей'!I225),кромка,2,0)+'Список деталей'!C225</f>
        <v>0</v>
      </c>
      <c r="R217" s="45">
        <f>VLOOKUP(IF(ISBLANK('Список деталей'!F225)=TRUE,7,'Список деталей'!F225),кромка,2,0)+VLOOKUP(IF(ISBLANK('Список деталей'!G225)=TRUE,7,'Список деталей'!G225),кромка,2,0)+'Список деталей'!D225</f>
        <v>0</v>
      </c>
      <c r="S217" s="42">
        <f>IF('Список деталей'!H225="",0,1)+IF('Список деталей'!I225="",0,1)+'Список деталей'!C225</f>
        <v>0</v>
      </c>
      <c r="T217" s="42">
        <f>IF('Список деталей'!F225="",0,1)+IF('Список деталей'!G225="",0,1)+'Список деталей'!D225</f>
        <v>0</v>
      </c>
      <c r="U217" s="3" t="str">
        <f>IF(ISBLANK('Список деталей'!K225),"",'Список деталей'!K225)</f>
        <v/>
      </c>
      <c r="V217" s="3" t="str">
        <f>IF(AND('Список деталей'!C225&gt;849,'Список деталей'!D225&gt;849)=TRUE,1*'Список деталей'!E225,"")</f>
        <v/>
      </c>
    </row>
    <row r="218" spans="1:22" x14ac:dyDescent="0.45">
      <c r="A218" s="3" t="str">
        <f>IF(ISNUMBER('Список деталей'!A226), 'Список деталей'!A226, "")</f>
        <v/>
      </c>
      <c r="B218" s="30" t="str">
        <f>IF(ISBLANK('Список деталей'!B226),"",'Список деталей'!B226)</f>
        <v/>
      </c>
      <c r="C218" s="3" t="str">
        <f>IF(ISNUMBER('Список деталей'!C226), $W$4,"")</f>
        <v/>
      </c>
      <c r="D218" s="3" t="str">
        <f>IF(ISNUMBER('Список деталей'!C226), 'Список деталей'!$I$4,"")</f>
        <v/>
      </c>
      <c r="E218" s="24" t="str">
        <f>IF(ISNUMBER('Список деталей'!E226), 'Список деталей'!E226, "")</f>
        <v/>
      </c>
      <c r="F218" s="24" t="str">
        <f>IF(ISNUMBER('Список деталей'!C226), 'Список деталей'!C226, "")</f>
        <v/>
      </c>
      <c r="G218" s="24" t="str">
        <f>IF(ISNUMBER('Список деталей'!D226), 'Список деталей'!D226, "")</f>
        <v/>
      </c>
      <c r="H218" s="3" t="str">
        <f t="shared" si="3"/>
        <v xml:space="preserve">    </v>
      </c>
      <c r="I218" s="3" t="str">
        <f>IF(ISBLANK('Список деталей'!F226),"",VLOOKUP('Список деталей'!F226,обозначениКромки,4,0))</f>
        <v/>
      </c>
      <c r="J218" s="25" t="str">
        <f>IF(ISBLANK('Список деталей'!G226),"",VLOOKUP('Список деталей'!G226,обозначениКромки,4,0))</f>
        <v/>
      </c>
      <c r="K218" s="25" t="str">
        <f>IF(ISBLANK('Список деталей'!H226),"",VLOOKUP('Список деталей'!H226,обозначениКромки,4,0))</f>
        <v/>
      </c>
      <c r="L218" s="25" t="str">
        <f>IF(ISBLANK('Список деталей'!I226),"",VLOOKUP('Список деталей'!I226,обозначениКромки,4,0))</f>
        <v/>
      </c>
      <c r="M218" s="24" t="str">
        <f>IF(ISBLANK('Список деталей'!Y226),"",('Список деталей'!Y226))</f>
        <v/>
      </c>
      <c r="N218" s="3" t="str">
        <f>IF(ISBLANK('Список деталей'!Z226),"",('Список деталей'!Z226))</f>
        <v/>
      </c>
      <c r="O218" s="3" t="str">
        <f>IF(ISBLANK('Список деталей'!AA226),"",('Список деталей'!AA226))</f>
        <v/>
      </c>
      <c r="P218" s="3" t="str">
        <f>IF(ISBLANK('Список деталей'!AB226),"",('Список деталей'!AB226))</f>
        <v/>
      </c>
      <c r="Q218" s="45">
        <f>VLOOKUP(IF(ISBLANK('Список деталей'!H226)=TRUE,7,'Список деталей'!H226),кромка,2,0)+VLOOKUP(IF(ISBLANK('Список деталей'!I226)=TRUE,7,'Список деталей'!I226),кромка,2,0)+'Список деталей'!C226</f>
        <v>0</v>
      </c>
      <c r="R218" s="45">
        <f>VLOOKUP(IF(ISBLANK('Список деталей'!F226)=TRUE,7,'Список деталей'!F226),кромка,2,0)+VLOOKUP(IF(ISBLANK('Список деталей'!G226)=TRUE,7,'Список деталей'!G226),кромка,2,0)+'Список деталей'!D226</f>
        <v>0</v>
      </c>
      <c r="S218" s="42">
        <f>IF('Список деталей'!H226="",0,1)+IF('Список деталей'!I226="",0,1)+'Список деталей'!C226</f>
        <v>0</v>
      </c>
      <c r="T218" s="42">
        <f>IF('Список деталей'!F226="",0,1)+IF('Список деталей'!G226="",0,1)+'Список деталей'!D226</f>
        <v>0</v>
      </c>
      <c r="U218" s="3" t="str">
        <f>IF(ISBLANK('Список деталей'!K226),"",'Список деталей'!K226)</f>
        <v/>
      </c>
      <c r="V218" s="3" t="str">
        <f>IF(AND('Список деталей'!C226&gt;849,'Список деталей'!D226&gt;849)=TRUE,1*'Список деталей'!E226,"")</f>
        <v/>
      </c>
    </row>
    <row r="219" spans="1:22" x14ac:dyDescent="0.45">
      <c r="A219" s="3" t="str">
        <f>IF(ISNUMBER('Список деталей'!A227), 'Список деталей'!A227, "")</f>
        <v/>
      </c>
      <c r="B219" s="30" t="str">
        <f>IF(ISBLANK('Список деталей'!B227),"",'Список деталей'!B227)</f>
        <v/>
      </c>
      <c r="C219" s="3" t="str">
        <f>IF(ISNUMBER('Список деталей'!C227), $W$4,"")</f>
        <v/>
      </c>
      <c r="D219" s="3" t="str">
        <f>IF(ISNUMBER('Список деталей'!C227), 'Список деталей'!$I$4,"")</f>
        <v/>
      </c>
      <c r="E219" s="24" t="str">
        <f>IF(ISNUMBER('Список деталей'!E227), 'Список деталей'!E227, "")</f>
        <v/>
      </c>
      <c r="F219" s="24" t="str">
        <f>IF(ISNUMBER('Список деталей'!C227), 'Список деталей'!C227, "")</f>
        <v/>
      </c>
      <c r="G219" s="24" t="str">
        <f>IF(ISNUMBER('Список деталей'!D227), 'Список деталей'!D227, "")</f>
        <v/>
      </c>
      <c r="H219" s="3" t="str">
        <f t="shared" si="3"/>
        <v xml:space="preserve">    </v>
      </c>
      <c r="I219" s="3" t="str">
        <f>IF(ISBLANK('Список деталей'!F227),"",VLOOKUP('Список деталей'!F227,обозначениКромки,4,0))</f>
        <v/>
      </c>
      <c r="J219" s="25" t="str">
        <f>IF(ISBLANK('Список деталей'!G227),"",VLOOKUP('Список деталей'!G227,обозначениКромки,4,0))</f>
        <v/>
      </c>
      <c r="K219" s="25" t="str">
        <f>IF(ISBLANK('Список деталей'!H227),"",VLOOKUP('Список деталей'!H227,обозначениКромки,4,0))</f>
        <v/>
      </c>
      <c r="L219" s="25" t="str">
        <f>IF(ISBLANK('Список деталей'!I227),"",VLOOKUP('Список деталей'!I227,обозначениКромки,4,0))</f>
        <v/>
      </c>
      <c r="M219" s="24" t="str">
        <f>IF(ISBLANK('Список деталей'!Y227),"",('Список деталей'!Y227))</f>
        <v/>
      </c>
      <c r="N219" s="3" t="str">
        <f>IF(ISBLANK('Список деталей'!Z227),"",('Список деталей'!Z227))</f>
        <v/>
      </c>
      <c r="O219" s="3" t="str">
        <f>IF(ISBLANK('Список деталей'!AA227),"",('Список деталей'!AA227))</f>
        <v/>
      </c>
      <c r="P219" s="3" t="str">
        <f>IF(ISBLANK('Список деталей'!AB227),"",('Список деталей'!AB227))</f>
        <v/>
      </c>
      <c r="Q219" s="45">
        <f>VLOOKUP(IF(ISBLANK('Список деталей'!H227)=TRUE,7,'Список деталей'!H227),кромка,2,0)+VLOOKUP(IF(ISBLANK('Список деталей'!I227)=TRUE,7,'Список деталей'!I227),кромка,2,0)+'Список деталей'!C227</f>
        <v>0</v>
      </c>
      <c r="R219" s="45">
        <f>VLOOKUP(IF(ISBLANK('Список деталей'!F227)=TRUE,7,'Список деталей'!F227),кромка,2,0)+VLOOKUP(IF(ISBLANK('Список деталей'!G227)=TRUE,7,'Список деталей'!G227),кромка,2,0)+'Список деталей'!D227</f>
        <v>0</v>
      </c>
      <c r="S219" s="42">
        <f>IF('Список деталей'!H227="",0,1)+IF('Список деталей'!I227="",0,1)+'Список деталей'!C227</f>
        <v>0</v>
      </c>
      <c r="T219" s="42">
        <f>IF('Список деталей'!F227="",0,1)+IF('Список деталей'!G227="",0,1)+'Список деталей'!D227</f>
        <v>0</v>
      </c>
      <c r="U219" s="3" t="str">
        <f>IF(ISBLANK('Список деталей'!K227),"",'Список деталей'!K227)</f>
        <v/>
      </c>
      <c r="V219" s="3" t="str">
        <f>IF(AND('Список деталей'!C227&gt;849,'Список деталей'!D227&gt;849)=TRUE,1*'Список деталей'!E227,"")</f>
        <v/>
      </c>
    </row>
    <row r="220" spans="1:22" x14ac:dyDescent="0.45">
      <c r="A220" s="3" t="str">
        <f>IF(ISNUMBER('Список деталей'!A228), 'Список деталей'!A228, "")</f>
        <v/>
      </c>
      <c r="B220" s="30" t="str">
        <f>IF(ISBLANK('Список деталей'!B228),"",'Список деталей'!B228)</f>
        <v/>
      </c>
      <c r="C220" s="3" t="str">
        <f>IF(ISNUMBER('Список деталей'!C228), $W$4,"")</f>
        <v/>
      </c>
      <c r="D220" s="3" t="str">
        <f>IF(ISNUMBER('Список деталей'!C228), 'Список деталей'!$I$4,"")</f>
        <v/>
      </c>
      <c r="E220" s="24" t="str">
        <f>IF(ISNUMBER('Список деталей'!E228), 'Список деталей'!E228, "")</f>
        <v/>
      </c>
      <c r="F220" s="24" t="str">
        <f>IF(ISNUMBER('Список деталей'!C228), 'Список деталей'!C228, "")</f>
        <v/>
      </c>
      <c r="G220" s="24" t="str">
        <f>IF(ISNUMBER('Список деталей'!D228), 'Список деталей'!D228, "")</f>
        <v/>
      </c>
      <c r="H220" s="3" t="str">
        <f t="shared" si="3"/>
        <v xml:space="preserve">    </v>
      </c>
      <c r="I220" s="3" t="str">
        <f>IF(ISBLANK('Список деталей'!F228),"",VLOOKUP('Список деталей'!F228,обозначениКромки,4,0))</f>
        <v/>
      </c>
      <c r="J220" s="25" t="str">
        <f>IF(ISBLANK('Список деталей'!G228),"",VLOOKUP('Список деталей'!G228,обозначениКромки,4,0))</f>
        <v/>
      </c>
      <c r="K220" s="25" t="str">
        <f>IF(ISBLANK('Список деталей'!H228),"",VLOOKUP('Список деталей'!H228,обозначениКромки,4,0))</f>
        <v/>
      </c>
      <c r="L220" s="25" t="str">
        <f>IF(ISBLANK('Список деталей'!I228),"",VLOOKUP('Список деталей'!I228,обозначениКромки,4,0))</f>
        <v/>
      </c>
      <c r="M220" s="24" t="str">
        <f>IF(ISBLANK('Список деталей'!Y228),"",('Список деталей'!Y228))</f>
        <v/>
      </c>
      <c r="N220" s="3" t="str">
        <f>IF(ISBLANK('Список деталей'!Z228),"",('Список деталей'!Z228))</f>
        <v/>
      </c>
      <c r="O220" s="3" t="str">
        <f>IF(ISBLANK('Список деталей'!AA228),"",('Список деталей'!AA228))</f>
        <v/>
      </c>
      <c r="P220" s="3" t="str">
        <f>IF(ISBLANK('Список деталей'!AB228),"",('Список деталей'!AB228))</f>
        <v/>
      </c>
      <c r="Q220" s="45">
        <f>VLOOKUP(IF(ISBLANK('Список деталей'!H228)=TRUE,7,'Список деталей'!H228),кромка,2,0)+VLOOKUP(IF(ISBLANK('Список деталей'!I228)=TRUE,7,'Список деталей'!I228),кромка,2,0)+'Список деталей'!C228</f>
        <v>0</v>
      </c>
      <c r="R220" s="45">
        <f>VLOOKUP(IF(ISBLANK('Список деталей'!F228)=TRUE,7,'Список деталей'!F228),кромка,2,0)+VLOOKUP(IF(ISBLANK('Список деталей'!G228)=TRUE,7,'Список деталей'!G228),кромка,2,0)+'Список деталей'!D228</f>
        <v>0</v>
      </c>
      <c r="S220" s="42">
        <f>IF('Список деталей'!H228="",0,1)+IF('Список деталей'!I228="",0,1)+'Список деталей'!C228</f>
        <v>0</v>
      </c>
      <c r="T220" s="42">
        <f>IF('Список деталей'!F228="",0,1)+IF('Список деталей'!G228="",0,1)+'Список деталей'!D228</f>
        <v>0</v>
      </c>
      <c r="U220" s="3" t="str">
        <f>IF(ISBLANK('Список деталей'!K228),"",'Список деталей'!K228)</f>
        <v/>
      </c>
      <c r="V220" s="3" t="str">
        <f>IF(AND('Список деталей'!C228&gt;849,'Список деталей'!D228&gt;849)=TRUE,1*'Список деталей'!E228,"")</f>
        <v/>
      </c>
    </row>
    <row r="221" spans="1:22" x14ac:dyDescent="0.45">
      <c r="A221" s="3" t="str">
        <f>IF(ISNUMBER('Список деталей'!A229), 'Список деталей'!A229, "")</f>
        <v/>
      </c>
      <c r="B221" s="30" t="str">
        <f>IF(ISBLANK('Список деталей'!B229),"",'Список деталей'!B229)</f>
        <v/>
      </c>
      <c r="C221" s="3" t="str">
        <f>IF(ISNUMBER('Список деталей'!C229), $W$4,"")</f>
        <v/>
      </c>
      <c r="D221" s="3" t="str">
        <f>IF(ISNUMBER('Список деталей'!C229), 'Список деталей'!$I$4,"")</f>
        <v/>
      </c>
      <c r="E221" s="24" t="str">
        <f>IF(ISNUMBER('Список деталей'!E229), 'Список деталей'!E229, "")</f>
        <v/>
      </c>
      <c r="F221" s="24" t="str">
        <f>IF(ISNUMBER('Список деталей'!C229), 'Список деталей'!C229, "")</f>
        <v/>
      </c>
      <c r="G221" s="24" t="str">
        <f>IF(ISNUMBER('Список деталей'!D229), 'Список деталей'!D229, "")</f>
        <v/>
      </c>
      <c r="H221" s="3" t="str">
        <f t="shared" si="3"/>
        <v xml:space="preserve">    </v>
      </c>
      <c r="I221" s="3" t="str">
        <f>IF(ISBLANK('Список деталей'!F229),"",VLOOKUP('Список деталей'!F229,обозначениКромки,4,0))</f>
        <v/>
      </c>
      <c r="J221" s="25" t="str">
        <f>IF(ISBLANK('Список деталей'!G229),"",VLOOKUP('Список деталей'!G229,обозначениКромки,4,0))</f>
        <v/>
      </c>
      <c r="K221" s="25" t="str">
        <f>IF(ISBLANK('Список деталей'!H229),"",VLOOKUP('Список деталей'!H229,обозначениКромки,4,0))</f>
        <v/>
      </c>
      <c r="L221" s="25" t="str">
        <f>IF(ISBLANK('Список деталей'!I229),"",VLOOKUP('Список деталей'!I229,обозначениКромки,4,0))</f>
        <v/>
      </c>
      <c r="M221" s="24" t="str">
        <f>IF(ISBLANK('Список деталей'!Y229),"",('Список деталей'!Y229))</f>
        <v/>
      </c>
      <c r="N221" s="3" t="str">
        <f>IF(ISBLANK('Список деталей'!Z229),"",('Список деталей'!Z229))</f>
        <v/>
      </c>
      <c r="O221" s="3" t="str">
        <f>IF(ISBLANK('Список деталей'!AA229),"",('Список деталей'!AA229))</f>
        <v/>
      </c>
      <c r="P221" s="3" t="str">
        <f>IF(ISBLANK('Список деталей'!AB229),"",('Список деталей'!AB229))</f>
        <v/>
      </c>
      <c r="Q221" s="45">
        <f>VLOOKUP(IF(ISBLANK('Список деталей'!H229)=TRUE,7,'Список деталей'!H229),кромка,2,0)+VLOOKUP(IF(ISBLANK('Список деталей'!I229)=TRUE,7,'Список деталей'!I229),кромка,2,0)+'Список деталей'!C229</f>
        <v>0</v>
      </c>
      <c r="R221" s="45">
        <f>VLOOKUP(IF(ISBLANK('Список деталей'!F229)=TRUE,7,'Список деталей'!F229),кромка,2,0)+VLOOKUP(IF(ISBLANK('Список деталей'!G229)=TRUE,7,'Список деталей'!G229),кромка,2,0)+'Список деталей'!D229</f>
        <v>0</v>
      </c>
      <c r="S221" s="42">
        <f>IF('Список деталей'!H229="",0,1)+IF('Список деталей'!I229="",0,1)+'Список деталей'!C229</f>
        <v>0</v>
      </c>
      <c r="T221" s="42">
        <f>IF('Список деталей'!F229="",0,1)+IF('Список деталей'!G229="",0,1)+'Список деталей'!D229</f>
        <v>0</v>
      </c>
      <c r="U221" s="3" t="str">
        <f>IF(ISBLANK('Список деталей'!K229),"",'Список деталей'!K229)</f>
        <v/>
      </c>
      <c r="V221" s="3" t="str">
        <f>IF(AND('Список деталей'!C229&gt;849,'Список деталей'!D229&gt;849)=TRUE,1*'Список деталей'!E229,"")</f>
        <v/>
      </c>
    </row>
    <row r="222" spans="1:22" x14ac:dyDescent="0.45">
      <c r="A222" s="3" t="str">
        <f>IF(ISNUMBER('Список деталей'!A230), 'Список деталей'!A230, "")</f>
        <v/>
      </c>
      <c r="B222" s="30" t="str">
        <f>IF(ISBLANK('Список деталей'!B230),"",'Список деталей'!B230)</f>
        <v/>
      </c>
      <c r="C222" s="3" t="str">
        <f>IF(ISNUMBER('Список деталей'!C230), $W$4,"")</f>
        <v/>
      </c>
      <c r="D222" s="3" t="str">
        <f>IF(ISNUMBER('Список деталей'!C230), 'Список деталей'!$I$4,"")</f>
        <v/>
      </c>
      <c r="E222" s="24" t="str">
        <f>IF(ISNUMBER('Список деталей'!E230), 'Список деталей'!E230, "")</f>
        <v/>
      </c>
      <c r="F222" s="24" t="str">
        <f>IF(ISNUMBER('Список деталей'!C230), 'Список деталей'!C230, "")</f>
        <v/>
      </c>
      <c r="G222" s="24" t="str">
        <f>IF(ISNUMBER('Список деталей'!D230), 'Список деталей'!D230, "")</f>
        <v/>
      </c>
      <c r="H222" s="3" t="str">
        <f t="shared" si="3"/>
        <v xml:space="preserve">    </v>
      </c>
      <c r="I222" s="3" t="str">
        <f>IF(ISBLANK('Список деталей'!F230),"",VLOOKUP('Список деталей'!F230,обозначениКромки,4,0))</f>
        <v/>
      </c>
      <c r="J222" s="25" t="str">
        <f>IF(ISBLANK('Список деталей'!G230),"",VLOOKUP('Список деталей'!G230,обозначениКромки,4,0))</f>
        <v/>
      </c>
      <c r="K222" s="25" t="str">
        <f>IF(ISBLANK('Список деталей'!H230),"",VLOOKUP('Список деталей'!H230,обозначениКромки,4,0))</f>
        <v/>
      </c>
      <c r="L222" s="25" t="str">
        <f>IF(ISBLANK('Список деталей'!I230),"",VLOOKUP('Список деталей'!I230,обозначениКромки,4,0))</f>
        <v/>
      </c>
      <c r="M222" s="24" t="str">
        <f>IF(ISBLANK('Список деталей'!Y230),"",('Список деталей'!Y230))</f>
        <v/>
      </c>
      <c r="N222" s="3" t="str">
        <f>IF(ISBLANK('Список деталей'!Z230),"",('Список деталей'!Z230))</f>
        <v/>
      </c>
      <c r="O222" s="3" t="str">
        <f>IF(ISBLANK('Список деталей'!AA230),"",('Список деталей'!AA230))</f>
        <v/>
      </c>
      <c r="P222" s="3" t="str">
        <f>IF(ISBLANK('Список деталей'!AB230),"",('Список деталей'!AB230))</f>
        <v/>
      </c>
      <c r="Q222" s="45">
        <f>VLOOKUP(IF(ISBLANK('Список деталей'!H230)=TRUE,7,'Список деталей'!H230),кромка,2,0)+VLOOKUP(IF(ISBLANK('Список деталей'!I230)=TRUE,7,'Список деталей'!I230),кромка,2,0)+'Список деталей'!C230</f>
        <v>0</v>
      </c>
      <c r="R222" s="45">
        <f>VLOOKUP(IF(ISBLANK('Список деталей'!F230)=TRUE,7,'Список деталей'!F230),кромка,2,0)+VLOOKUP(IF(ISBLANK('Список деталей'!G230)=TRUE,7,'Список деталей'!G230),кромка,2,0)+'Список деталей'!D230</f>
        <v>0</v>
      </c>
      <c r="S222" s="42">
        <f>IF('Список деталей'!H230="",0,1)+IF('Список деталей'!I230="",0,1)+'Список деталей'!C230</f>
        <v>0</v>
      </c>
      <c r="T222" s="42">
        <f>IF('Список деталей'!F230="",0,1)+IF('Список деталей'!G230="",0,1)+'Список деталей'!D230</f>
        <v>0</v>
      </c>
      <c r="U222" s="3" t="str">
        <f>IF(ISBLANK('Список деталей'!K230),"",'Список деталей'!K230)</f>
        <v/>
      </c>
      <c r="V222" s="3" t="str">
        <f>IF(AND('Список деталей'!C230&gt;849,'Список деталей'!D230&gt;849)=TRUE,1*'Список деталей'!E230,"")</f>
        <v/>
      </c>
    </row>
    <row r="223" spans="1:22" x14ac:dyDescent="0.45">
      <c r="A223" s="3" t="str">
        <f>IF(ISNUMBER('Список деталей'!A231), 'Список деталей'!A231, "")</f>
        <v/>
      </c>
      <c r="B223" s="30" t="str">
        <f>IF(ISBLANK('Список деталей'!B231),"",'Список деталей'!B231)</f>
        <v/>
      </c>
      <c r="C223" s="3" t="str">
        <f>IF(ISNUMBER('Список деталей'!C231), $W$4,"")</f>
        <v/>
      </c>
      <c r="D223" s="3" t="str">
        <f>IF(ISNUMBER('Список деталей'!C231), 'Список деталей'!$I$4,"")</f>
        <v/>
      </c>
      <c r="E223" s="24" t="str">
        <f>IF(ISNUMBER('Список деталей'!E231), 'Список деталей'!E231, "")</f>
        <v/>
      </c>
      <c r="F223" s="24" t="str">
        <f>IF(ISNUMBER('Список деталей'!C231), 'Список деталей'!C231, "")</f>
        <v/>
      </c>
      <c r="G223" s="24" t="str">
        <f>IF(ISNUMBER('Список деталей'!D231), 'Список деталей'!D231, "")</f>
        <v/>
      </c>
      <c r="H223" s="3" t="str">
        <f t="shared" si="3"/>
        <v xml:space="preserve">    </v>
      </c>
      <c r="I223" s="3" t="str">
        <f>IF(ISBLANK('Список деталей'!F231),"",VLOOKUP('Список деталей'!F231,обозначениКромки,4,0))</f>
        <v/>
      </c>
      <c r="J223" s="25" t="str">
        <f>IF(ISBLANK('Список деталей'!G231),"",VLOOKUP('Список деталей'!G231,обозначениКромки,4,0))</f>
        <v/>
      </c>
      <c r="K223" s="25" t="str">
        <f>IF(ISBLANK('Список деталей'!H231),"",VLOOKUP('Список деталей'!H231,обозначениКромки,4,0))</f>
        <v/>
      </c>
      <c r="L223" s="25" t="str">
        <f>IF(ISBLANK('Список деталей'!I231),"",VLOOKUP('Список деталей'!I231,обозначениКромки,4,0))</f>
        <v/>
      </c>
      <c r="M223" s="24" t="str">
        <f>IF(ISBLANK('Список деталей'!Y231),"",('Список деталей'!Y231))</f>
        <v/>
      </c>
      <c r="N223" s="3" t="str">
        <f>IF(ISBLANK('Список деталей'!Z231),"",('Список деталей'!Z231))</f>
        <v/>
      </c>
      <c r="O223" s="3" t="str">
        <f>IF(ISBLANK('Список деталей'!AA231),"",('Список деталей'!AA231))</f>
        <v/>
      </c>
      <c r="P223" s="3" t="str">
        <f>IF(ISBLANK('Список деталей'!AB231),"",('Список деталей'!AB231))</f>
        <v/>
      </c>
      <c r="Q223" s="45">
        <f>VLOOKUP(IF(ISBLANK('Список деталей'!H231)=TRUE,7,'Список деталей'!H231),кромка,2,0)+VLOOKUP(IF(ISBLANK('Список деталей'!I231)=TRUE,7,'Список деталей'!I231),кромка,2,0)+'Список деталей'!C231</f>
        <v>0</v>
      </c>
      <c r="R223" s="45">
        <f>VLOOKUP(IF(ISBLANK('Список деталей'!F231)=TRUE,7,'Список деталей'!F231),кромка,2,0)+VLOOKUP(IF(ISBLANK('Список деталей'!G231)=TRUE,7,'Список деталей'!G231),кромка,2,0)+'Список деталей'!D231</f>
        <v>0</v>
      </c>
      <c r="S223" s="42">
        <f>IF('Список деталей'!H231="",0,1)+IF('Список деталей'!I231="",0,1)+'Список деталей'!C231</f>
        <v>0</v>
      </c>
      <c r="T223" s="42">
        <f>IF('Список деталей'!F231="",0,1)+IF('Список деталей'!G231="",0,1)+'Список деталей'!D231</f>
        <v>0</v>
      </c>
      <c r="U223" s="3" t="str">
        <f>IF(ISBLANK('Список деталей'!K231),"",'Список деталей'!K231)</f>
        <v/>
      </c>
      <c r="V223" s="3" t="str">
        <f>IF(AND('Список деталей'!C231&gt;849,'Список деталей'!D231&gt;849)=TRUE,1*'Список деталей'!E231,"")</f>
        <v/>
      </c>
    </row>
    <row r="224" spans="1:22" x14ac:dyDescent="0.45">
      <c r="A224" s="3" t="str">
        <f>IF(ISNUMBER('Список деталей'!A232), 'Список деталей'!A232, "")</f>
        <v/>
      </c>
      <c r="B224" s="30" t="str">
        <f>IF(ISBLANK('Список деталей'!B232),"",'Список деталей'!B232)</f>
        <v/>
      </c>
      <c r="C224" s="3" t="str">
        <f>IF(ISNUMBER('Список деталей'!C232), $W$4,"")</f>
        <v/>
      </c>
      <c r="D224" s="3" t="str">
        <f>IF(ISNUMBER('Список деталей'!C232), 'Список деталей'!$I$4,"")</f>
        <v/>
      </c>
      <c r="E224" s="24" t="str">
        <f>IF(ISNUMBER('Список деталей'!E232), 'Список деталей'!E232, "")</f>
        <v/>
      </c>
      <c r="F224" s="24" t="str">
        <f>IF(ISNUMBER('Список деталей'!C232), 'Список деталей'!C232, "")</f>
        <v/>
      </c>
      <c r="G224" s="24" t="str">
        <f>IF(ISNUMBER('Список деталей'!D232), 'Список деталей'!D232, "")</f>
        <v/>
      </c>
      <c r="H224" s="3" t="str">
        <f t="shared" si="3"/>
        <v xml:space="preserve">    </v>
      </c>
      <c r="I224" s="3" t="str">
        <f>IF(ISBLANK('Список деталей'!F232),"",VLOOKUP('Список деталей'!F232,обозначениКромки,4,0))</f>
        <v/>
      </c>
      <c r="J224" s="25" t="str">
        <f>IF(ISBLANK('Список деталей'!G232),"",VLOOKUP('Список деталей'!G232,обозначениКромки,4,0))</f>
        <v/>
      </c>
      <c r="K224" s="25" t="str">
        <f>IF(ISBLANK('Список деталей'!H232),"",VLOOKUP('Список деталей'!H232,обозначениКромки,4,0))</f>
        <v/>
      </c>
      <c r="L224" s="25" t="str">
        <f>IF(ISBLANK('Список деталей'!I232),"",VLOOKUP('Список деталей'!I232,обозначениКромки,4,0))</f>
        <v/>
      </c>
      <c r="M224" s="24" t="str">
        <f>IF(ISBLANK('Список деталей'!Y232),"",('Список деталей'!Y232))</f>
        <v/>
      </c>
      <c r="N224" s="3" t="str">
        <f>IF(ISBLANK('Список деталей'!Z232),"",('Список деталей'!Z232))</f>
        <v/>
      </c>
      <c r="O224" s="3" t="str">
        <f>IF(ISBLANK('Список деталей'!AA232),"",('Список деталей'!AA232))</f>
        <v/>
      </c>
      <c r="P224" s="3" t="str">
        <f>IF(ISBLANK('Список деталей'!AB232),"",('Список деталей'!AB232))</f>
        <v/>
      </c>
      <c r="Q224" s="45">
        <f>VLOOKUP(IF(ISBLANK('Список деталей'!H232)=TRUE,7,'Список деталей'!H232),кромка,2,0)+VLOOKUP(IF(ISBLANK('Список деталей'!I232)=TRUE,7,'Список деталей'!I232),кромка,2,0)+'Список деталей'!C232</f>
        <v>0</v>
      </c>
      <c r="R224" s="45">
        <f>VLOOKUP(IF(ISBLANK('Список деталей'!F232)=TRUE,7,'Список деталей'!F232),кромка,2,0)+VLOOKUP(IF(ISBLANK('Список деталей'!G232)=TRUE,7,'Список деталей'!G232),кромка,2,0)+'Список деталей'!D232</f>
        <v>0</v>
      </c>
      <c r="S224" s="42">
        <f>IF('Список деталей'!H232="",0,1)+IF('Список деталей'!I232="",0,1)+'Список деталей'!C232</f>
        <v>0</v>
      </c>
      <c r="T224" s="42">
        <f>IF('Список деталей'!F232="",0,1)+IF('Список деталей'!G232="",0,1)+'Список деталей'!D232</f>
        <v>0</v>
      </c>
      <c r="U224" s="3" t="str">
        <f>IF(ISBLANK('Список деталей'!K232),"",'Список деталей'!K232)</f>
        <v/>
      </c>
      <c r="V224" s="3" t="str">
        <f>IF(AND('Список деталей'!C232&gt;849,'Список деталей'!D232&gt;849)=TRUE,1*'Список деталей'!E232,"")</f>
        <v/>
      </c>
    </row>
    <row r="225" spans="1:22" x14ac:dyDescent="0.45">
      <c r="A225" s="3" t="str">
        <f>IF(ISNUMBER('Список деталей'!A233), 'Список деталей'!A233, "")</f>
        <v/>
      </c>
      <c r="B225" s="30" t="str">
        <f>IF(ISBLANK('Список деталей'!B233),"",'Список деталей'!B233)</f>
        <v/>
      </c>
      <c r="C225" s="3" t="str">
        <f>IF(ISNUMBER('Список деталей'!C233), $W$4,"")</f>
        <v/>
      </c>
      <c r="D225" s="3" t="str">
        <f>IF(ISNUMBER('Список деталей'!C233), 'Список деталей'!$I$4,"")</f>
        <v/>
      </c>
      <c r="E225" s="24" t="str">
        <f>IF(ISNUMBER('Список деталей'!E233), 'Список деталей'!E233, "")</f>
        <v/>
      </c>
      <c r="F225" s="24" t="str">
        <f>IF(ISNUMBER('Список деталей'!C233), 'Список деталей'!C233, "")</f>
        <v/>
      </c>
      <c r="G225" s="24" t="str">
        <f>IF(ISNUMBER('Список деталей'!D233), 'Список деталей'!D233, "")</f>
        <v/>
      </c>
      <c r="H225" s="3" t="str">
        <f t="shared" si="3"/>
        <v xml:space="preserve">    </v>
      </c>
      <c r="I225" s="3" t="str">
        <f>IF(ISBLANK('Список деталей'!F233),"",VLOOKUP('Список деталей'!F233,обозначениКромки,4,0))</f>
        <v/>
      </c>
      <c r="J225" s="25" t="str">
        <f>IF(ISBLANK('Список деталей'!G233),"",VLOOKUP('Список деталей'!G233,обозначениКромки,4,0))</f>
        <v/>
      </c>
      <c r="K225" s="25" t="str">
        <f>IF(ISBLANK('Список деталей'!H233),"",VLOOKUP('Список деталей'!H233,обозначениКромки,4,0))</f>
        <v/>
      </c>
      <c r="L225" s="25" t="str">
        <f>IF(ISBLANK('Список деталей'!I233),"",VLOOKUP('Список деталей'!I233,обозначениКромки,4,0))</f>
        <v/>
      </c>
      <c r="M225" s="24" t="str">
        <f>IF(ISBLANK('Список деталей'!Y233),"",('Список деталей'!Y233))</f>
        <v/>
      </c>
      <c r="N225" s="3" t="str">
        <f>IF(ISBLANK('Список деталей'!Z233),"",('Список деталей'!Z233))</f>
        <v/>
      </c>
      <c r="O225" s="3" t="str">
        <f>IF(ISBLANK('Список деталей'!AA233),"",('Список деталей'!AA233))</f>
        <v/>
      </c>
      <c r="P225" s="3" t="str">
        <f>IF(ISBLANK('Список деталей'!AB233),"",('Список деталей'!AB233))</f>
        <v/>
      </c>
      <c r="Q225" s="45">
        <f>VLOOKUP(IF(ISBLANK('Список деталей'!H233)=TRUE,7,'Список деталей'!H233),кромка,2,0)+VLOOKUP(IF(ISBLANK('Список деталей'!I233)=TRUE,7,'Список деталей'!I233),кромка,2,0)+'Список деталей'!C233</f>
        <v>0</v>
      </c>
      <c r="R225" s="45">
        <f>VLOOKUP(IF(ISBLANK('Список деталей'!F233)=TRUE,7,'Список деталей'!F233),кромка,2,0)+VLOOKUP(IF(ISBLANK('Список деталей'!G233)=TRUE,7,'Список деталей'!G233),кромка,2,0)+'Список деталей'!D233</f>
        <v>0</v>
      </c>
      <c r="S225" s="42">
        <f>IF('Список деталей'!H233="",0,1)+IF('Список деталей'!I233="",0,1)+'Список деталей'!C233</f>
        <v>0</v>
      </c>
      <c r="T225" s="42">
        <f>IF('Список деталей'!F233="",0,1)+IF('Список деталей'!G233="",0,1)+'Список деталей'!D233</f>
        <v>0</v>
      </c>
      <c r="U225" s="3" t="str">
        <f>IF(ISBLANK('Список деталей'!K233),"",'Список деталей'!K233)</f>
        <v/>
      </c>
      <c r="V225" s="3" t="str">
        <f>IF(AND('Список деталей'!C233&gt;849,'Список деталей'!D233&gt;849)=TRUE,1*'Список деталей'!E233,"")</f>
        <v/>
      </c>
    </row>
    <row r="226" spans="1:22" x14ac:dyDescent="0.45">
      <c r="A226" s="3" t="str">
        <f>IF(ISNUMBER('Список деталей'!A234), 'Список деталей'!A234, "")</f>
        <v/>
      </c>
      <c r="B226" s="30" t="str">
        <f>IF(ISBLANK('Список деталей'!B234),"",'Список деталей'!B234)</f>
        <v/>
      </c>
      <c r="C226" s="3" t="str">
        <f>IF(ISNUMBER('Список деталей'!C234), $W$4,"")</f>
        <v/>
      </c>
      <c r="D226" s="3" t="str">
        <f>IF(ISNUMBER('Список деталей'!C234), 'Список деталей'!$I$4,"")</f>
        <v/>
      </c>
      <c r="E226" s="24" t="str">
        <f>IF(ISNUMBER('Список деталей'!E234), 'Список деталей'!E234, "")</f>
        <v/>
      </c>
      <c r="F226" s="24" t="str">
        <f>IF(ISNUMBER('Список деталей'!C234), 'Список деталей'!C234, "")</f>
        <v/>
      </c>
      <c r="G226" s="24" t="str">
        <f>IF(ISNUMBER('Список деталей'!D234), 'Список деталей'!D234, "")</f>
        <v/>
      </c>
      <c r="H226" s="3" t="str">
        <f t="shared" si="3"/>
        <v xml:space="preserve">    </v>
      </c>
      <c r="I226" s="3" t="str">
        <f>IF(ISBLANK('Список деталей'!F234),"",VLOOKUP('Список деталей'!F234,обозначениКромки,4,0))</f>
        <v/>
      </c>
      <c r="J226" s="25" t="str">
        <f>IF(ISBLANK('Список деталей'!G234),"",VLOOKUP('Список деталей'!G234,обозначениКромки,4,0))</f>
        <v/>
      </c>
      <c r="K226" s="25" t="str">
        <f>IF(ISBLANK('Список деталей'!H234),"",VLOOKUP('Список деталей'!H234,обозначениКромки,4,0))</f>
        <v/>
      </c>
      <c r="L226" s="25" t="str">
        <f>IF(ISBLANK('Список деталей'!I234),"",VLOOKUP('Список деталей'!I234,обозначениКромки,4,0))</f>
        <v/>
      </c>
      <c r="M226" s="24" t="str">
        <f>IF(ISBLANK('Список деталей'!Y234),"",('Список деталей'!Y234))</f>
        <v/>
      </c>
      <c r="N226" s="3" t="str">
        <f>IF(ISBLANK('Список деталей'!Z234),"",('Список деталей'!Z234))</f>
        <v/>
      </c>
      <c r="O226" s="3" t="str">
        <f>IF(ISBLANK('Список деталей'!AA234),"",('Список деталей'!AA234))</f>
        <v/>
      </c>
      <c r="P226" s="3" t="str">
        <f>IF(ISBLANK('Список деталей'!AB234),"",('Список деталей'!AB234))</f>
        <v/>
      </c>
      <c r="Q226" s="45">
        <f>VLOOKUP(IF(ISBLANK('Список деталей'!H234)=TRUE,7,'Список деталей'!H234),кромка,2,0)+VLOOKUP(IF(ISBLANK('Список деталей'!I234)=TRUE,7,'Список деталей'!I234),кромка,2,0)+'Список деталей'!C234</f>
        <v>0</v>
      </c>
      <c r="R226" s="45">
        <f>VLOOKUP(IF(ISBLANK('Список деталей'!F234)=TRUE,7,'Список деталей'!F234),кромка,2,0)+VLOOKUP(IF(ISBLANK('Список деталей'!G234)=TRUE,7,'Список деталей'!G234),кромка,2,0)+'Список деталей'!D234</f>
        <v>0</v>
      </c>
      <c r="S226" s="42">
        <f>IF('Список деталей'!H234="",0,1)+IF('Список деталей'!I234="",0,1)+'Список деталей'!C234</f>
        <v>0</v>
      </c>
      <c r="T226" s="42">
        <f>IF('Список деталей'!F234="",0,1)+IF('Список деталей'!G234="",0,1)+'Список деталей'!D234</f>
        <v>0</v>
      </c>
      <c r="U226" s="3" t="str">
        <f>IF(ISBLANK('Список деталей'!K234),"",'Список деталей'!K234)</f>
        <v/>
      </c>
      <c r="V226" s="3" t="str">
        <f>IF(AND('Список деталей'!C234&gt;849,'Список деталей'!D234&gt;849)=TRUE,1*'Список деталей'!E234,"")</f>
        <v/>
      </c>
    </row>
    <row r="227" spans="1:22" x14ac:dyDescent="0.45">
      <c r="A227" s="3" t="str">
        <f>IF(ISNUMBER('Список деталей'!A235), 'Список деталей'!A235, "")</f>
        <v/>
      </c>
      <c r="B227" s="30" t="str">
        <f>IF(ISBLANK('Список деталей'!B235),"",'Список деталей'!B235)</f>
        <v/>
      </c>
      <c r="C227" s="3" t="str">
        <f>IF(ISNUMBER('Список деталей'!C235), $W$4,"")</f>
        <v/>
      </c>
      <c r="D227" s="3" t="str">
        <f>IF(ISNUMBER('Список деталей'!C235), 'Список деталей'!$I$4,"")</f>
        <v/>
      </c>
      <c r="E227" s="24" t="str">
        <f>IF(ISNUMBER('Список деталей'!E235), 'Список деталей'!E235, "")</f>
        <v/>
      </c>
      <c r="F227" s="24" t="str">
        <f>IF(ISNUMBER('Список деталей'!C235), 'Список деталей'!C235, "")</f>
        <v/>
      </c>
      <c r="G227" s="24" t="str">
        <f>IF(ISNUMBER('Список деталей'!D235), 'Список деталей'!D235, "")</f>
        <v/>
      </c>
      <c r="H227" s="3" t="str">
        <f t="shared" si="3"/>
        <v xml:space="preserve">    </v>
      </c>
      <c r="I227" s="3" t="str">
        <f>IF(ISBLANK('Список деталей'!F235),"",VLOOKUP('Список деталей'!F235,обозначениКромки,4,0))</f>
        <v/>
      </c>
      <c r="J227" s="25" t="str">
        <f>IF(ISBLANK('Список деталей'!G235),"",VLOOKUP('Список деталей'!G235,обозначениКромки,4,0))</f>
        <v/>
      </c>
      <c r="K227" s="25" t="str">
        <f>IF(ISBLANK('Список деталей'!H235),"",VLOOKUP('Список деталей'!H235,обозначениКромки,4,0))</f>
        <v/>
      </c>
      <c r="L227" s="25" t="str">
        <f>IF(ISBLANK('Список деталей'!I235),"",VLOOKUP('Список деталей'!I235,обозначениКромки,4,0))</f>
        <v/>
      </c>
      <c r="M227" s="24" t="str">
        <f>IF(ISBLANK('Список деталей'!Y235),"",('Список деталей'!Y235))</f>
        <v/>
      </c>
      <c r="N227" s="3" t="str">
        <f>IF(ISBLANK('Список деталей'!Z235),"",('Список деталей'!Z235))</f>
        <v/>
      </c>
      <c r="O227" s="3" t="str">
        <f>IF(ISBLANK('Список деталей'!AA235),"",('Список деталей'!AA235))</f>
        <v/>
      </c>
      <c r="P227" s="3" t="str">
        <f>IF(ISBLANK('Список деталей'!AB235),"",('Список деталей'!AB235))</f>
        <v/>
      </c>
      <c r="Q227" s="45">
        <f>VLOOKUP(IF(ISBLANK('Список деталей'!H235)=TRUE,7,'Список деталей'!H235),кромка,2,0)+VLOOKUP(IF(ISBLANK('Список деталей'!I235)=TRUE,7,'Список деталей'!I235),кромка,2,0)+'Список деталей'!C235</f>
        <v>0</v>
      </c>
      <c r="R227" s="45">
        <f>VLOOKUP(IF(ISBLANK('Список деталей'!F235)=TRUE,7,'Список деталей'!F235),кромка,2,0)+VLOOKUP(IF(ISBLANK('Список деталей'!G235)=TRUE,7,'Список деталей'!G235),кромка,2,0)+'Список деталей'!D235</f>
        <v>0</v>
      </c>
      <c r="S227" s="42">
        <f>IF('Список деталей'!H235="",0,1)+IF('Список деталей'!I235="",0,1)+'Список деталей'!C235</f>
        <v>0</v>
      </c>
      <c r="T227" s="42">
        <f>IF('Список деталей'!F235="",0,1)+IF('Список деталей'!G235="",0,1)+'Список деталей'!D235</f>
        <v>0</v>
      </c>
      <c r="U227" s="3" t="str">
        <f>IF(ISBLANK('Список деталей'!K235),"",'Список деталей'!K235)</f>
        <v/>
      </c>
      <c r="V227" s="3" t="str">
        <f>IF(AND('Список деталей'!C235&gt;849,'Список деталей'!D235&gt;849)=TRUE,1*'Список деталей'!E235,"")</f>
        <v/>
      </c>
    </row>
    <row r="228" spans="1:22" x14ac:dyDescent="0.45">
      <c r="A228" s="3" t="str">
        <f>IF(ISNUMBER('Список деталей'!A236), 'Список деталей'!A236, "")</f>
        <v/>
      </c>
      <c r="B228" s="30" t="str">
        <f>IF(ISBLANK('Список деталей'!B236),"",'Список деталей'!B236)</f>
        <v/>
      </c>
      <c r="C228" s="3" t="str">
        <f>IF(ISNUMBER('Список деталей'!C236), $W$4,"")</f>
        <v/>
      </c>
      <c r="D228" s="3" t="str">
        <f>IF(ISNUMBER('Список деталей'!C236), 'Список деталей'!$I$4,"")</f>
        <v/>
      </c>
      <c r="E228" s="24" t="str">
        <f>IF(ISNUMBER('Список деталей'!E236), 'Список деталей'!E236, "")</f>
        <v/>
      </c>
      <c r="F228" s="24" t="str">
        <f>IF(ISNUMBER('Список деталей'!C236), 'Список деталей'!C236, "")</f>
        <v/>
      </c>
      <c r="G228" s="24" t="str">
        <f>IF(ISNUMBER('Список деталей'!D236), 'Список деталей'!D236, "")</f>
        <v/>
      </c>
      <c r="H228" s="3" t="str">
        <f t="shared" si="3"/>
        <v xml:space="preserve">    </v>
      </c>
      <c r="I228" s="3" t="str">
        <f>IF(ISBLANK('Список деталей'!F236),"",VLOOKUP('Список деталей'!F236,обозначениКромки,4,0))</f>
        <v/>
      </c>
      <c r="J228" s="25" t="str">
        <f>IF(ISBLANK('Список деталей'!G236),"",VLOOKUP('Список деталей'!G236,обозначениКромки,4,0))</f>
        <v/>
      </c>
      <c r="K228" s="25" t="str">
        <f>IF(ISBLANK('Список деталей'!H236),"",VLOOKUP('Список деталей'!H236,обозначениКромки,4,0))</f>
        <v/>
      </c>
      <c r="L228" s="25" t="str">
        <f>IF(ISBLANK('Список деталей'!I236),"",VLOOKUP('Список деталей'!I236,обозначениКромки,4,0))</f>
        <v/>
      </c>
      <c r="M228" s="24" t="str">
        <f>IF(ISBLANK('Список деталей'!Y236),"",('Список деталей'!Y236))</f>
        <v/>
      </c>
      <c r="N228" s="3" t="str">
        <f>IF(ISBLANK('Список деталей'!Z236),"",('Список деталей'!Z236))</f>
        <v/>
      </c>
      <c r="O228" s="3" t="str">
        <f>IF(ISBLANK('Список деталей'!AA236),"",('Список деталей'!AA236))</f>
        <v/>
      </c>
      <c r="P228" s="3" t="str">
        <f>IF(ISBLANK('Список деталей'!AB236),"",('Список деталей'!AB236))</f>
        <v/>
      </c>
      <c r="Q228" s="45">
        <f>VLOOKUP(IF(ISBLANK('Список деталей'!H236)=TRUE,7,'Список деталей'!H236),кромка,2,0)+VLOOKUP(IF(ISBLANK('Список деталей'!I236)=TRUE,7,'Список деталей'!I236),кромка,2,0)+'Список деталей'!C236</f>
        <v>0</v>
      </c>
      <c r="R228" s="45">
        <f>VLOOKUP(IF(ISBLANK('Список деталей'!F236)=TRUE,7,'Список деталей'!F236),кромка,2,0)+VLOOKUP(IF(ISBLANK('Список деталей'!G236)=TRUE,7,'Список деталей'!G236),кромка,2,0)+'Список деталей'!D236</f>
        <v>0</v>
      </c>
      <c r="S228" s="42">
        <f>IF('Список деталей'!H236="",0,1)+IF('Список деталей'!I236="",0,1)+'Список деталей'!C236</f>
        <v>0</v>
      </c>
      <c r="T228" s="42">
        <f>IF('Список деталей'!F236="",0,1)+IF('Список деталей'!G236="",0,1)+'Список деталей'!D236</f>
        <v>0</v>
      </c>
      <c r="U228" s="3" t="str">
        <f>IF(ISBLANK('Список деталей'!K236),"",'Список деталей'!K236)</f>
        <v/>
      </c>
      <c r="V228" s="3" t="str">
        <f>IF(AND('Список деталей'!C236&gt;849,'Список деталей'!D236&gt;849)=TRUE,1*'Список деталей'!E236,"")</f>
        <v/>
      </c>
    </row>
    <row r="229" spans="1:22" x14ac:dyDescent="0.45">
      <c r="A229" s="3" t="str">
        <f>IF(ISNUMBER('Список деталей'!A237), 'Список деталей'!A237, "")</f>
        <v/>
      </c>
      <c r="B229" s="30" t="str">
        <f>IF(ISBLANK('Список деталей'!B237),"",'Список деталей'!B237)</f>
        <v/>
      </c>
      <c r="C229" s="3" t="str">
        <f>IF(ISNUMBER('Список деталей'!C237), $W$4,"")</f>
        <v/>
      </c>
      <c r="D229" s="3" t="str">
        <f>IF(ISNUMBER('Список деталей'!C237), 'Список деталей'!$I$4,"")</f>
        <v/>
      </c>
      <c r="E229" s="24" t="str">
        <f>IF(ISNUMBER('Список деталей'!E237), 'Список деталей'!E237, "")</f>
        <v/>
      </c>
      <c r="F229" s="24" t="str">
        <f>IF(ISNUMBER('Список деталей'!C237), 'Список деталей'!C237, "")</f>
        <v/>
      </c>
      <c r="G229" s="24" t="str">
        <f>IF(ISNUMBER('Список деталей'!D237), 'Список деталей'!D237, "")</f>
        <v/>
      </c>
      <c r="H229" s="3" t="str">
        <f t="shared" si="3"/>
        <v xml:space="preserve">    </v>
      </c>
      <c r="I229" s="3" t="str">
        <f>IF(ISBLANK('Список деталей'!F237),"",VLOOKUP('Список деталей'!F237,обозначениКромки,4,0))</f>
        <v/>
      </c>
      <c r="J229" s="25" t="str">
        <f>IF(ISBLANK('Список деталей'!G237),"",VLOOKUP('Список деталей'!G237,обозначениКромки,4,0))</f>
        <v/>
      </c>
      <c r="K229" s="25" t="str">
        <f>IF(ISBLANK('Список деталей'!H237),"",VLOOKUP('Список деталей'!H237,обозначениКромки,4,0))</f>
        <v/>
      </c>
      <c r="L229" s="25" t="str">
        <f>IF(ISBLANK('Список деталей'!I237),"",VLOOKUP('Список деталей'!I237,обозначениКромки,4,0))</f>
        <v/>
      </c>
      <c r="M229" s="24" t="str">
        <f>IF(ISBLANK('Список деталей'!Y237),"",('Список деталей'!Y237))</f>
        <v/>
      </c>
      <c r="N229" s="3" t="str">
        <f>IF(ISBLANK('Список деталей'!Z237),"",('Список деталей'!Z237))</f>
        <v/>
      </c>
      <c r="O229" s="3" t="str">
        <f>IF(ISBLANK('Список деталей'!AA237),"",('Список деталей'!AA237))</f>
        <v/>
      </c>
      <c r="P229" s="3" t="str">
        <f>IF(ISBLANK('Список деталей'!AB237),"",('Список деталей'!AB237))</f>
        <v/>
      </c>
      <c r="Q229" s="45">
        <f>VLOOKUP(IF(ISBLANK('Список деталей'!H237)=TRUE,7,'Список деталей'!H237),кромка,2,0)+VLOOKUP(IF(ISBLANK('Список деталей'!I237)=TRUE,7,'Список деталей'!I237),кромка,2,0)+'Список деталей'!C237</f>
        <v>0</v>
      </c>
      <c r="R229" s="45">
        <f>VLOOKUP(IF(ISBLANK('Список деталей'!F237)=TRUE,7,'Список деталей'!F237),кромка,2,0)+VLOOKUP(IF(ISBLANK('Список деталей'!G237)=TRUE,7,'Список деталей'!G237),кромка,2,0)+'Список деталей'!D237</f>
        <v>0</v>
      </c>
      <c r="S229" s="42">
        <f>IF('Список деталей'!H237="",0,1)+IF('Список деталей'!I237="",0,1)+'Список деталей'!C237</f>
        <v>0</v>
      </c>
      <c r="T229" s="42">
        <f>IF('Список деталей'!F237="",0,1)+IF('Список деталей'!G237="",0,1)+'Список деталей'!D237</f>
        <v>0</v>
      </c>
      <c r="U229" s="3" t="str">
        <f>IF(ISBLANK('Список деталей'!K237),"",'Список деталей'!K237)</f>
        <v/>
      </c>
      <c r="V229" s="3" t="str">
        <f>IF(AND('Список деталей'!C237&gt;849,'Список деталей'!D237&gt;849)=TRUE,1*'Список деталей'!E237,"")</f>
        <v/>
      </c>
    </row>
    <row r="230" spans="1:22" x14ac:dyDescent="0.45">
      <c r="A230" s="3" t="str">
        <f>IF(ISNUMBER('Список деталей'!A238), 'Список деталей'!A238, "")</f>
        <v/>
      </c>
      <c r="B230" s="30" t="str">
        <f>IF(ISBLANK('Список деталей'!B238),"",'Список деталей'!B238)</f>
        <v/>
      </c>
      <c r="C230" s="3" t="str">
        <f>IF(ISNUMBER('Список деталей'!C238), $W$4,"")</f>
        <v/>
      </c>
      <c r="D230" s="3" t="str">
        <f>IF(ISNUMBER('Список деталей'!C238), 'Список деталей'!$I$4,"")</f>
        <v/>
      </c>
      <c r="E230" s="24" t="str">
        <f>IF(ISNUMBER('Список деталей'!E238), 'Список деталей'!E238, "")</f>
        <v/>
      </c>
      <c r="F230" s="24" t="str">
        <f>IF(ISNUMBER('Список деталей'!C238), 'Список деталей'!C238, "")</f>
        <v/>
      </c>
      <c r="G230" s="24" t="str">
        <f>IF(ISNUMBER('Список деталей'!D238), 'Список деталей'!D238, "")</f>
        <v/>
      </c>
      <c r="H230" s="3" t="str">
        <f t="shared" si="3"/>
        <v xml:space="preserve">    </v>
      </c>
      <c r="I230" s="3" t="str">
        <f>IF(ISBLANK('Список деталей'!F238),"",VLOOKUP('Список деталей'!F238,обозначениКромки,4,0))</f>
        <v/>
      </c>
      <c r="J230" s="25" t="str">
        <f>IF(ISBLANK('Список деталей'!G238),"",VLOOKUP('Список деталей'!G238,обозначениКромки,4,0))</f>
        <v/>
      </c>
      <c r="K230" s="25" t="str">
        <f>IF(ISBLANK('Список деталей'!H238),"",VLOOKUP('Список деталей'!H238,обозначениКромки,4,0))</f>
        <v/>
      </c>
      <c r="L230" s="25" t="str">
        <f>IF(ISBLANK('Список деталей'!I238),"",VLOOKUP('Список деталей'!I238,обозначениКромки,4,0))</f>
        <v/>
      </c>
      <c r="M230" s="24" t="str">
        <f>IF(ISBLANK('Список деталей'!Y238),"",('Список деталей'!Y238))</f>
        <v/>
      </c>
      <c r="N230" s="3" t="str">
        <f>IF(ISBLANK('Список деталей'!Z238),"",('Список деталей'!Z238))</f>
        <v/>
      </c>
      <c r="O230" s="3" t="str">
        <f>IF(ISBLANK('Список деталей'!AA238),"",('Список деталей'!AA238))</f>
        <v/>
      </c>
      <c r="P230" s="3" t="str">
        <f>IF(ISBLANK('Список деталей'!AB238),"",('Список деталей'!AB238))</f>
        <v/>
      </c>
      <c r="Q230" s="45">
        <f>VLOOKUP(IF(ISBLANK('Список деталей'!H238)=TRUE,7,'Список деталей'!H238),кромка,2,0)+VLOOKUP(IF(ISBLANK('Список деталей'!I238)=TRUE,7,'Список деталей'!I238),кромка,2,0)+'Список деталей'!C238</f>
        <v>0</v>
      </c>
      <c r="R230" s="45">
        <f>VLOOKUP(IF(ISBLANK('Список деталей'!F238)=TRUE,7,'Список деталей'!F238),кромка,2,0)+VLOOKUP(IF(ISBLANK('Список деталей'!G238)=TRUE,7,'Список деталей'!G238),кромка,2,0)+'Список деталей'!D238</f>
        <v>0</v>
      </c>
      <c r="S230" s="42">
        <f>IF('Список деталей'!H238="",0,1)+IF('Список деталей'!I238="",0,1)+'Список деталей'!C238</f>
        <v>0</v>
      </c>
      <c r="T230" s="42">
        <f>IF('Список деталей'!F238="",0,1)+IF('Список деталей'!G238="",0,1)+'Список деталей'!D238</f>
        <v>0</v>
      </c>
      <c r="U230" s="3" t="str">
        <f>IF(ISBLANK('Список деталей'!K238),"",'Список деталей'!K238)</f>
        <v/>
      </c>
      <c r="V230" s="3" t="str">
        <f>IF(AND('Список деталей'!C238&gt;849,'Список деталей'!D238&gt;849)=TRUE,1*'Список деталей'!E238,"")</f>
        <v/>
      </c>
    </row>
    <row r="231" spans="1:22" x14ac:dyDescent="0.45">
      <c r="A231" s="3" t="str">
        <f>IF(ISNUMBER('Список деталей'!A239), 'Список деталей'!A239, "")</f>
        <v/>
      </c>
      <c r="B231" s="30" t="str">
        <f>IF(ISBLANK('Список деталей'!B239),"",'Список деталей'!B239)</f>
        <v/>
      </c>
      <c r="C231" s="3" t="str">
        <f>IF(ISNUMBER('Список деталей'!C239), $W$4,"")</f>
        <v/>
      </c>
      <c r="D231" s="3" t="str">
        <f>IF(ISNUMBER('Список деталей'!C239), 'Список деталей'!$I$4,"")</f>
        <v/>
      </c>
      <c r="E231" s="24" t="str">
        <f>IF(ISNUMBER('Список деталей'!E239), 'Список деталей'!E239, "")</f>
        <v/>
      </c>
      <c r="F231" s="24" t="str">
        <f>IF(ISNUMBER('Список деталей'!C239), 'Список деталей'!C239, "")</f>
        <v/>
      </c>
      <c r="G231" s="24" t="str">
        <f>IF(ISNUMBER('Список деталей'!D239), 'Список деталей'!D239, "")</f>
        <v/>
      </c>
      <c r="H231" s="3" t="str">
        <f t="shared" si="3"/>
        <v xml:space="preserve">    </v>
      </c>
      <c r="I231" s="3" t="str">
        <f>IF(ISBLANK('Список деталей'!F239),"",VLOOKUP('Список деталей'!F239,обозначениКромки,4,0))</f>
        <v/>
      </c>
      <c r="J231" s="25" t="str">
        <f>IF(ISBLANK('Список деталей'!G239),"",VLOOKUP('Список деталей'!G239,обозначениКромки,4,0))</f>
        <v/>
      </c>
      <c r="K231" s="25" t="str">
        <f>IF(ISBLANK('Список деталей'!H239),"",VLOOKUP('Список деталей'!H239,обозначениКромки,4,0))</f>
        <v/>
      </c>
      <c r="L231" s="25" t="str">
        <f>IF(ISBLANK('Список деталей'!I239),"",VLOOKUP('Список деталей'!I239,обозначениКромки,4,0))</f>
        <v/>
      </c>
      <c r="M231" s="24" t="str">
        <f>IF(ISBLANK('Список деталей'!Y239),"",('Список деталей'!Y239))</f>
        <v/>
      </c>
      <c r="N231" s="3" t="str">
        <f>IF(ISBLANK('Список деталей'!Z239),"",('Список деталей'!Z239))</f>
        <v/>
      </c>
      <c r="O231" s="3" t="str">
        <f>IF(ISBLANK('Список деталей'!AA239),"",('Список деталей'!AA239))</f>
        <v/>
      </c>
      <c r="P231" s="3" t="str">
        <f>IF(ISBLANK('Список деталей'!AB239),"",('Список деталей'!AB239))</f>
        <v/>
      </c>
      <c r="Q231" s="45">
        <f>VLOOKUP(IF(ISBLANK('Список деталей'!H239)=TRUE,7,'Список деталей'!H239),кромка,2,0)+VLOOKUP(IF(ISBLANK('Список деталей'!I239)=TRUE,7,'Список деталей'!I239),кромка,2,0)+'Список деталей'!C239</f>
        <v>0</v>
      </c>
      <c r="R231" s="45">
        <f>VLOOKUP(IF(ISBLANK('Список деталей'!F239)=TRUE,7,'Список деталей'!F239),кромка,2,0)+VLOOKUP(IF(ISBLANK('Список деталей'!G239)=TRUE,7,'Список деталей'!G239),кромка,2,0)+'Список деталей'!D239</f>
        <v>0</v>
      </c>
      <c r="S231" s="42">
        <f>IF('Список деталей'!H239="",0,1)+IF('Список деталей'!I239="",0,1)+'Список деталей'!C239</f>
        <v>0</v>
      </c>
      <c r="T231" s="42">
        <f>IF('Список деталей'!F239="",0,1)+IF('Список деталей'!G239="",0,1)+'Список деталей'!D239</f>
        <v>0</v>
      </c>
      <c r="U231" s="3" t="str">
        <f>IF(ISBLANK('Список деталей'!K239),"",'Список деталей'!K239)</f>
        <v/>
      </c>
      <c r="V231" s="3" t="str">
        <f>IF(AND('Список деталей'!C239&gt;849,'Список деталей'!D239&gt;849)=TRUE,1*'Список деталей'!E239,"")</f>
        <v/>
      </c>
    </row>
    <row r="232" spans="1:22" x14ac:dyDescent="0.45">
      <c r="A232" s="3" t="str">
        <f>IF(ISNUMBER('Список деталей'!A240), 'Список деталей'!A240, "")</f>
        <v/>
      </c>
      <c r="B232" s="30" t="str">
        <f>IF(ISBLANK('Список деталей'!B240),"",'Список деталей'!B240)</f>
        <v/>
      </c>
      <c r="C232" s="3" t="str">
        <f>IF(ISNUMBER('Список деталей'!C240), $W$4,"")</f>
        <v/>
      </c>
      <c r="D232" s="3" t="str">
        <f>IF(ISNUMBER('Список деталей'!C240), 'Список деталей'!$I$4,"")</f>
        <v/>
      </c>
      <c r="E232" s="24" t="str">
        <f>IF(ISNUMBER('Список деталей'!E240), 'Список деталей'!E240, "")</f>
        <v/>
      </c>
      <c r="F232" s="24" t="str">
        <f>IF(ISNUMBER('Список деталей'!C240), 'Список деталей'!C240, "")</f>
        <v/>
      </c>
      <c r="G232" s="24" t="str">
        <f>IF(ISNUMBER('Список деталей'!D240), 'Список деталей'!D240, "")</f>
        <v/>
      </c>
      <c r="H232" s="3" t="str">
        <f t="shared" si="3"/>
        <v xml:space="preserve">    </v>
      </c>
      <c r="I232" s="3" t="str">
        <f>IF(ISBLANK('Список деталей'!F240),"",VLOOKUP('Список деталей'!F240,обозначениКромки,4,0))</f>
        <v/>
      </c>
      <c r="J232" s="25" t="str">
        <f>IF(ISBLANK('Список деталей'!G240),"",VLOOKUP('Список деталей'!G240,обозначениКромки,4,0))</f>
        <v/>
      </c>
      <c r="K232" s="25" t="str">
        <f>IF(ISBLANK('Список деталей'!H240),"",VLOOKUP('Список деталей'!H240,обозначениКромки,4,0))</f>
        <v/>
      </c>
      <c r="L232" s="25" t="str">
        <f>IF(ISBLANK('Список деталей'!I240),"",VLOOKUP('Список деталей'!I240,обозначениКромки,4,0))</f>
        <v/>
      </c>
      <c r="M232" s="24" t="str">
        <f>IF(ISBLANK('Список деталей'!Y240),"",('Список деталей'!Y240))</f>
        <v/>
      </c>
      <c r="N232" s="3" t="str">
        <f>IF(ISBLANK('Список деталей'!Z240),"",('Список деталей'!Z240))</f>
        <v/>
      </c>
      <c r="O232" s="3" t="str">
        <f>IF(ISBLANK('Список деталей'!AA240),"",('Список деталей'!AA240))</f>
        <v/>
      </c>
      <c r="P232" s="3" t="str">
        <f>IF(ISBLANK('Список деталей'!AB240),"",('Список деталей'!AB240))</f>
        <v/>
      </c>
      <c r="Q232" s="45">
        <f>VLOOKUP(IF(ISBLANK('Список деталей'!H240)=TRUE,7,'Список деталей'!H240),кромка,2,0)+VLOOKUP(IF(ISBLANK('Список деталей'!I240)=TRUE,7,'Список деталей'!I240),кромка,2,0)+'Список деталей'!C240</f>
        <v>0</v>
      </c>
      <c r="R232" s="45">
        <f>VLOOKUP(IF(ISBLANK('Список деталей'!F240)=TRUE,7,'Список деталей'!F240),кромка,2,0)+VLOOKUP(IF(ISBLANK('Список деталей'!G240)=TRUE,7,'Список деталей'!G240),кромка,2,0)+'Список деталей'!D240</f>
        <v>0</v>
      </c>
      <c r="S232" s="42">
        <f>IF('Список деталей'!H240="",0,1)+IF('Список деталей'!I240="",0,1)+'Список деталей'!C240</f>
        <v>0</v>
      </c>
      <c r="T232" s="42">
        <f>IF('Список деталей'!F240="",0,1)+IF('Список деталей'!G240="",0,1)+'Список деталей'!D240</f>
        <v>0</v>
      </c>
      <c r="U232" s="3" t="str">
        <f>IF(ISBLANK('Список деталей'!K240),"",'Список деталей'!K240)</f>
        <v/>
      </c>
      <c r="V232" s="3" t="str">
        <f>IF(AND('Список деталей'!C240&gt;849,'Список деталей'!D240&gt;849)=TRUE,1*'Список деталей'!E240,"")</f>
        <v/>
      </c>
    </row>
    <row r="233" spans="1:22" x14ac:dyDescent="0.45">
      <c r="A233" s="3" t="str">
        <f>IF(ISNUMBER('Список деталей'!A241), 'Список деталей'!A241, "")</f>
        <v/>
      </c>
      <c r="B233" s="30" t="str">
        <f>IF(ISBLANK('Список деталей'!B241),"",'Список деталей'!B241)</f>
        <v/>
      </c>
      <c r="C233" s="3" t="str">
        <f>IF(ISNUMBER('Список деталей'!C241), $W$4,"")</f>
        <v/>
      </c>
      <c r="D233" s="3" t="str">
        <f>IF(ISNUMBER('Список деталей'!C241), 'Список деталей'!$I$4,"")</f>
        <v/>
      </c>
      <c r="E233" s="24" t="str">
        <f>IF(ISNUMBER('Список деталей'!E241), 'Список деталей'!E241, "")</f>
        <v/>
      </c>
      <c r="F233" s="24" t="str">
        <f>IF(ISNUMBER('Список деталей'!C241), 'Список деталей'!C241, "")</f>
        <v/>
      </c>
      <c r="G233" s="24" t="str">
        <f>IF(ISNUMBER('Список деталей'!D241), 'Список деталей'!D241, "")</f>
        <v/>
      </c>
      <c r="H233" s="3" t="str">
        <f t="shared" si="3"/>
        <v xml:space="preserve">    </v>
      </c>
      <c r="I233" s="3" t="str">
        <f>IF(ISBLANK('Список деталей'!F241),"",VLOOKUP('Список деталей'!F241,обозначениКромки,4,0))</f>
        <v/>
      </c>
      <c r="J233" s="25" t="str">
        <f>IF(ISBLANK('Список деталей'!G241),"",VLOOKUP('Список деталей'!G241,обозначениКромки,4,0))</f>
        <v/>
      </c>
      <c r="K233" s="25" t="str">
        <f>IF(ISBLANK('Список деталей'!H241),"",VLOOKUP('Список деталей'!H241,обозначениКромки,4,0))</f>
        <v/>
      </c>
      <c r="L233" s="25" t="str">
        <f>IF(ISBLANK('Список деталей'!I241),"",VLOOKUP('Список деталей'!I241,обозначениКромки,4,0))</f>
        <v/>
      </c>
      <c r="M233" s="24" t="str">
        <f>IF(ISBLANK('Список деталей'!Y241),"",('Список деталей'!Y241))</f>
        <v/>
      </c>
      <c r="N233" s="3" t="str">
        <f>IF(ISBLANK('Список деталей'!Z241),"",('Список деталей'!Z241))</f>
        <v/>
      </c>
      <c r="O233" s="3" t="str">
        <f>IF(ISBLANK('Список деталей'!AA241),"",('Список деталей'!AA241))</f>
        <v/>
      </c>
      <c r="P233" s="3" t="str">
        <f>IF(ISBLANK('Список деталей'!AB241),"",('Список деталей'!AB241))</f>
        <v/>
      </c>
      <c r="Q233" s="45">
        <f>VLOOKUP(IF(ISBLANK('Список деталей'!H241)=TRUE,7,'Список деталей'!H241),кромка,2,0)+VLOOKUP(IF(ISBLANK('Список деталей'!I241)=TRUE,7,'Список деталей'!I241),кромка,2,0)+'Список деталей'!C241</f>
        <v>0</v>
      </c>
      <c r="R233" s="45">
        <f>VLOOKUP(IF(ISBLANK('Список деталей'!F241)=TRUE,7,'Список деталей'!F241),кромка,2,0)+VLOOKUP(IF(ISBLANK('Список деталей'!G241)=TRUE,7,'Список деталей'!G241),кромка,2,0)+'Список деталей'!D241</f>
        <v>0</v>
      </c>
      <c r="S233" s="42">
        <f>IF('Список деталей'!H241="",0,1)+IF('Список деталей'!I241="",0,1)+'Список деталей'!C241</f>
        <v>0</v>
      </c>
      <c r="T233" s="42">
        <f>IF('Список деталей'!F241="",0,1)+IF('Список деталей'!G241="",0,1)+'Список деталей'!D241</f>
        <v>0</v>
      </c>
      <c r="U233" s="3" t="str">
        <f>IF(ISBLANK('Список деталей'!K241),"",'Список деталей'!K241)</f>
        <v/>
      </c>
      <c r="V233" s="3" t="str">
        <f>IF(AND('Список деталей'!C241&gt;849,'Список деталей'!D241&gt;849)=TRUE,1*'Список деталей'!E241,"")</f>
        <v/>
      </c>
    </row>
    <row r="234" spans="1:22" x14ac:dyDescent="0.45">
      <c r="A234" s="3" t="str">
        <f>IF(ISNUMBER('Список деталей'!A242), 'Список деталей'!A242, "")</f>
        <v/>
      </c>
      <c r="B234" s="30" t="str">
        <f>IF(ISBLANK('Список деталей'!B242),"",'Список деталей'!B242)</f>
        <v/>
      </c>
      <c r="C234" s="3" t="str">
        <f>IF(ISNUMBER('Список деталей'!C242), $W$4,"")</f>
        <v/>
      </c>
      <c r="D234" s="3" t="str">
        <f>IF(ISNUMBER('Список деталей'!C242), 'Список деталей'!$I$4,"")</f>
        <v/>
      </c>
      <c r="E234" s="24" t="str">
        <f>IF(ISNUMBER('Список деталей'!E242), 'Список деталей'!E242, "")</f>
        <v/>
      </c>
      <c r="F234" s="24" t="str">
        <f>IF(ISNUMBER('Список деталей'!C242), 'Список деталей'!C242, "")</f>
        <v/>
      </c>
      <c r="G234" s="24" t="str">
        <f>IF(ISNUMBER('Список деталей'!D242), 'Список деталей'!D242, "")</f>
        <v/>
      </c>
      <c r="H234" s="3" t="str">
        <f t="shared" si="3"/>
        <v xml:space="preserve">    </v>
      </c>
      <c r="I234" s="3" t="str">
        <f>IF(ISBLANK('Список деталей'!F242),"",VLOOKUP('Список деталей'!F242,обозначениКромки,4,0))</f>
        <v/>
      </c>
      <c r="J234" s="25" t="str">
        <f>IF(ISBLANK('Список деталей'!G242),"",VLOOKUP('Список деталей'!G242,обозначениКромки,4,0))</f>
        <v/>
      </c>
      <c r="K234" s="25" t="str">
        <f>IF(ISBLANK('Список деталей'!H242),"",VLOOKUP('Список деталей'!H242,обозначениКромки,4,0))</f>
        <v/>
      </c>
      <c r="L234" s="25" t="str">
        <f>IF(ISBLANK('Список деталей'!I242),"",VLOOKUP('Список деталей'!I242,обозначениКромки,4,0))</f>
        <v/>
      </c>
      <c r="M234" s="24" t="str">
        <f>IF(ISBLANK('Список деталей'!Y242),"",('Список деталей'!Y242))</f>
        <v/>
      </c>
      <c r="N234" s="3" t="str">
        <f>IF(ISBLANK('Список деталей'!Z242),"",('Список деталей'!Z242))</f>
        <v/>
      </c>
      <c r="O234" s="3" t="str">
        <f>IF(ISBLANK('Список деталей'!AA242),"",('Список деталей'!AA242))</f>
        <v/>
      </c>
      <c r="P234" s="3" t="str">
        <f>IF(ISBLANK('Список деталей'!AB242),"",('Список деталей'!AB242))</f>
        <v/>
      </c>
      <c r="Q234" s="45">
        <f>VLOOKUP(IF(ISBLANK('Список деталей'!H242)=TRUE,7,'Список деталей'!H242),кромка,2,0)+VLOOKUP(IF(ISBLANK('Список деталей'!I242)=TRUE,7,'Список деталей'!I242),кромка,2,0)+'Список деталей'!C242</f>
        <v>0</v>
      </c>
      <c r="R234" s="45">
        <f>VLOOKUP(IF(ISBLANK('Список деталей'!F242)=TRUE,7,'Список деталей'!F242),кромка,2,0)+VLOOKUP(IF(ISBLANK('Список деталей'!G242)=TRUE,7,'Список деталей'!G242),кромка,2,0)+'Список деталей'!D242</f>
        <v>0</v>
      </c>
      <c r="S234" s="42">
        <f>IF('Список деталей'!H242="",0,1)+IF('Список деталей'!I242="",0,1)+'Список деталей'!C242</f>
        <v>0</v>
      </c>
      <c r="T234" s="42">
        <f>IF('Список деталей'!F242="",0,1)+IF('Список деталей'!G242="",0,1)+'Список деталей'!D242</f>
        <v>0</v>
      </c>
      <c r="U234" s="3" t="str">
        <f>IF(ISBLANK('Список деталей'!K242),"",'Список деталей'!K242)</f>
        <v/>
      </c>
      <c r="V234" s="3" t="str">
        <f>IF(AND('Список деталей'!C242&gt;849,'Список деталей'!D242&gt;849)=TRUE,1*'Список деталей'!E242,"")</f>
        <v/>
      </c>
    </row>
    <row r="235" spans="1:22" x14ac:dyDescent="0.45">
      <c r="A235" s="3" t="str">
        <f>IF(ISNUMBER('Список деталей'!A243), 'Список деталей'!A243, "")</f>
        <v/>
      </c>
      <c r="B235" s="30" t="str">
        <f>IF(ISBLANK('Список деталей'!B243),"",'Список деталей'!B243)</f>
        <v/>
      </c>
      <c r="C235" s="3" t="str">
        <f>IF(ISNUMBER('Список деталей'!C243), $W$4,"")</f>
        <v/>
      </c>
      <c r="D235" s="3" t="str">
        <f>IF(ISNUMBER('Список деталей'!C243), 'Список деталей'!$I$4,"")</f>
        <v/>
      </c>
      <c r="E235" s="24" t="str">
        <f>IF(ISNUMBER('Список деталей'!E243), 'Список деталей'!E243, "")</f>
        <v/>
      </c>
      <c r="F235" s="24" t="str">
        <f>IF(ISNUMBER('Список деталей'!C243), 'Список деталей'!C243, "")</f>
        <v/>
      </c>
      <c r="G235" s="24" t="str">
        <f>IF(ISNUMBER('Список деталей'!D243), 'Список деталей'!D243, "")</f>
        <v/>
      </c>
      <c r="H235" s="3" t="str">
        <f t="shared" si="3"/>
        <v xml:space="preserve">    </v>
      </c>
      <c r="I235" s="3" t="str">
        <f>IF(ISBLANK('Список деталей'!F243),"",VLOOKUP('Список деталей'!F243,обозначениКромки,4,0))</f>
        <v/>
      </c>
      <c r="J235" s="25" t="str">
        <f>IF(ISBLANK('Список деталей'!G243),"",VLOOKUP('Список деталей'!G243,обозначениКромки,4,0))</f>
        <v/>
      </c>
      <c r="K235" s="25" t="str">
        <f>IF(ISBLANK('Список деталей'!H243),"",VLOOKUP('Список деталей'!H243,обозначениКромки,4,0))</f>
        <v/>
      </c>
      <c r="L235" s="25" t="str">
        <f>IF(ISBLANK('Список деталей'!I243),"",VLOOKUP('Список деталей'!I243,обозначениКромки,4,0))</f>
        <v/>
      </c>
      <c r="M235" s="24" t="str">
        <f>IF(ISBLANK('Список деталей'!Y243),"",('Список деталей'!Y243))</f>
        <v/>
      </c>
      <c r="N235" s="3" t="str">
        <f>IF(ISBLANK('Список деталей'!Z243),"",('Список деталей'!Z243))</f>
        <v/>
      </c>
      <c r="O235" s="3" t="str">
        <f>IF(ISBLANK('Список деталей'!AA243),"",('Список деталей'!AA243))</f>
        <v/>
      </c>
      <c r="P235" s="3" t="str">
        <f>IF(ISBLANK('Список деталей'!AB243),"",('Список деталей'!AB243))</f>
        <v/>
      </c>
      <c r="Q235" s="45">
        <f>VLOOKUP(IF(ISBLANK('Список деталей'!H243)=TRUE,7,'Список деталей'!H243),кромка,2,0)+VLOOKUP(IF(ISBLANK('Список деталей'!I243)=TRUE,7,'Список деталей'!I243),кромка,2,0)+'Список деталей'!C243</f>
        <v>0</v>
      </c>
      <c r="R235" s="45">
        <f>VLOOKUP(IF(ISBLANK('Список деталей'!F243)=TRUE,7,'Список деталей'!F243),кромка,2,0)+VLOOKUP(IF(ISBLANK('Список деталей'!G243)=TRUE,7,'Список деталей'!G243),кромка,2,0)+'Список деталей'!D243</f>
        <v>0</v>
      </c>
      <c r="S235" s="42">
        <f>IF('Список деталей'!H243="",0,1)+IF('Список деталей'!I243="",0,1)+'Список деталей'!C243</f>
        <v>0</v>
      </c>
      <c r="T235" s="42">
        <f>IF('Список деталей'!F243="",0,1)+IF('Список деталей'!G243="",0,1)+'Список деталей'!D243</f>
        <v>0</v>
      </c>
      <c r="U235" s="3" t="str">
        <f>IF(ISBLANK('Список деталей'!K243),"",'Список деталей'!K243)</f>
        <v/>
      </c>
      <c r="V235" s="3" t="str">
        <f>IF(AND('Список деталей'!C243&gt;849,'Список деталей'!D243&gt;849)=TRUE,1*'Список деталей'!E243,"")</f>
        <v/>
      </c>
    </row>
    <row r="236" spans="1:22" x14ac:dyDescent="0.45">
      <c r="A236" s="3" t="str">
        <f>IF(ISNUMBER('Список деталей'!A244), 'Список деталей'!A244, "")</f>
        <v/>
      </c>
      <c r="B236" s="30" t="str">
        <f>IF(ISBLANK('Список деталей'!B244),"",'Список деталей'!B244)</f>
        <v/>
      </c>
      <c r="C236" s="3" t="str">
        <f>IF(ISNUMBER('Список деталей'!C244), $W$4,"")</f>
        <v/>
      </c>
      <c r="D236" s="3" t="str">
        <f>IF(ISNUMBER('Список деталей'!C244), 'Список деталей'!$I$4,"")</f>
        <v/>
      </c>
      <c r="E236" s="24" t="str">
        <f>IF(ISNUMBER('Список деталей'!E244), 'Список деталей'!E244, "")</f>
        <v/>
      </c>
      <c r="F236" s="24" t="str">
        <f>IF(ISNUMBER('Список деталей'!C244), 'Список деталей'!C244, "")</f>
        <v/>
      </c>
      <c r="G236" s="24" t="str">
        <f>IF(ISNUMBER('Список деталей'!D244), 'Список деталей'!D244, "")</f>
        <v/>
      </c>
      <c r="H236" s="3" t="str">
        <f t="shared" si="3"/>
        <v xml:space="preserve">    </v>
      </c>
      <c r="I236" s="3" t="str">
        <f>IF(ISBLANK('Список деталей'!F244),"",VLOOKUP('Список деталей'!F244,обозначениКромки,4,0))</f>
        <v/>
      </c>
      <c r="J236" s="25" t="str">
        <f>IF(ISBLANK('Список деталей'!G244),"",VLOOKUP('Список деталей'!G244,обозначениКромки,4,0))</f>
        <v/>
      </c>
      <c r="K236" s="25" t="str">
        <f>IF(ISBLANK('Список деталей'!H244),"",VLOOKUP('Список деталей'!H244,обозначениКромки,4,0))</f>
        <v/>
      </c>
      <c r="L236" s="25" t="str">
        <f>IF(ISBLANK('Список деталей'!I244),"",VLOOKUP('Список деталей'!I244,обозначениКромки,4,0))</f>
        <v/>
      </c>
      <c r="M236" s="24" t="str">
        <f>IF(ISBLANK('Список деталей'!Y244),"",('Список деталей'!Y244))</f>
        <v/>
      </c>
      <c r="N236" s="3" t="str">
        <f>IF(ISBLANK('Список деталей'!Z244),"",('Список деталей'!Z244))</f>
        <v/>
      </c>
      <c r="O236" s="3" t="str">
        <f>IF(ISBLANK('Список деталей'!AA244),"",('Список деталей'!AA244))</f>
        <v/>
      </c>
      <c r="P236" s="3" t="str">
        <f>IF(ISBLANK('Список деталей'!AB244),"",('Список деталей'!AB244))</f>
        <v/>
      </c>
      <c r="Q236" s="45">
        <f>VLOOKUP(IF(ISBLANK('Список деталей'!H244)=TRUE,7,'Список деталей'!H244),кромка,2,0)+VLOOKUP(IF(ISBLANK('Список деталей'!I244)=TRUE,7,'Список деталей'!I244),кромка,2,0)+'Список деталей'!C244</f>
        <v>0</v>
      </c>
      <c r="R236" s="45">
        <f>VLOOKUP(IF(ISBLANK('Список деталей'!F244)=TRUE,7,'Список деталей'!F244),кромка,2,0)+VLOOKUP(IF(ISBLANK('Список деталей'!G244)=TRUE,7,'Список деталей'!G244),кромка,2,0)+'Список деталей'!D244</f>
        <v>0</v>
      </c>
      <c r="S236" s="42">
        <f>IF('Список деталей'!H244="",0,1)+IF('Список деталей'!I244="",0,1)+'Список деталей'!C244</f>
        <v>0</v>
      </c>
      <c r="T236" s="42">
        <f>IF('Список деталей'!F244="",0,1)+IF('Список деталей'!G244="",0,1)+'Список деталей'!D244</f>
        <v>0</v>
      </c>
      <c r="U236" s="3" t="str">
        <f>IF(ISBLANK('Список деталей'!K244),"",'Список деталей'!K244)</f>
        <v/>
      </c>
      <c r="V236" s="3" t="str">
        <f>IF(AND('Список деталей'!C244&gt;849,'Список деталей'!D244&gt;849)=TRUE,1*'Список деталей'!E244,"")</f>
        <v/>
      </c>
    </row>
    <row r="237" spans="1:22" x14ac:dyDescent="0.45">
      <c r="A237" s="3" t="str">
        <f>IF(ISNUMBER('Список деталей'!A245), 'Список деталей'!A245, "")</f>
        <v/>
      </c>
      <c r="B237" s="30" t="str">
        <f>IF(ISBLANK('Список деталей'!B245),"",'Список деталей'!B245)</f>
        <v/>
      </c>
      <c r="C237" s="3" t="str">
        <f>IF(ISNUMBER('Список деталей'!C245), $W$4,"")</f>
        <v/>
      </c>
      <c r="D237" s="3" t="str">
        <f>IF(ISNUMBER('Список деталей'!C245), 'Список деталей'!$I$4,"")</f>
        <v/>
      </c>
      <c r="E237" s="24" t="str">
        <f>IF(ISNUMBER('Список деталей'!E245), 'Список деталей'!E245, "")</f>
        <v/>
      </c>
      <c r="F237" s="24" t="str">
        <f>IF(ISNUMBER('Список деталей'!C245), 'Список деталей'!C245, "")</f>
        <v/>
      </c>
      <c r="G237" s="24" t="str">
        <f>IF(ISNUMBER('Список деталей'!D245), 'Список деталей'!D245, "")</f>
        <v/>
      </c>
      <c r="H237" s="3" t="str">
        <f t="shared" si="3"/>
        <v xml:space="preserve">    </v>
      </c>
      <c r="I237" s="3" t="str">
        <f>IF(ISBLANK('Список деталей'!F245),"",VLOOKUP('Список деталей'!F245,обозначениКромки,4,0))</f>
        <v/>
      </c>
      <c r="J237" s="25" t="str">
        <f>IF(ISBLANK('Список деталей'!G245),"",VLOOKUP('Список деталей'!G245,обозначениКромки,4,0))</f>
        <v/>
      </c>
      <c r="K237" s="25" t="str">
        <f>IF(ISBLANK('Список деталей'!H245),"",VLOOKUP('Список деталей'!H245,обозначениКромки,4,0))</f>
        <v/>
      </c>
      <c r="L237" s="25" t="str">
        <f>IF(ISBLANK('Список деталей'!I245),"",VLOOKUP('Список деталей'!I245,обозначениКромки,4,0))</f>
        <v/>
      </c>
      <c r="M237" s="24" t="str">
        <f>IF(ISBLANK('Список деталей'!Y245),"",('Список деталей'!Y245))</f>
        <v/>
      </c>
      <c r="N237" s="3" t="str">
        <f>IF(ISBLANK('Список деталей'!Z245),"",('Список деталей'!Z245))</f>
        <v/>
      </c>
      <c r="O237" s="3" t="str">
        <f>IF(ISBLANK('Список деталей'!AA245),"",('Список деталей'!AA245))</f>
        <v/>
      </c>
      <c r="P237" s="3" t="str">
        <f>IF(ISBLANK('Список деталей'!AB245),"",('Список деталей'!AB245))</f>
        <v/>
      </c>
      <c r="Q237" s="45">
        <f>VLOOKUP(IF(ISBLANK('Список деталей'!H245)=TRUE,7,'Список деталей'!H245),кромка,2,0)+VLOOKUP(IF(ISBLANK('Список деталей'!I245)=TRUE,7,'Список деталей'!I245),кромка,2,0)+'Список деталей'!C245</f>
        <v>0</v>
      </c>
      <c r="R237" s="45">
        <f>VLOOKUP(IF(ISBLANK('Список деталей'!F245)=TRUE,7,'Список деталей'!F245),кромка,2,0)+VLOOKUP(IF(ISBLANK('Список деталей'!G245)=TRUE,7,'Список деталей'!G245),кромка,2,0)+'Список деталей'!D245</f>
        <v>0</v>
      </c>
      <c r="S237" s="42">
        <f>IF('Список деталей'!H245="",0,1)+IF('Список деталей'!I245="",0,1)+'Список деталей'!C245</f>
        <v>0</v>
      </c>
      <c r="T237" s="42">
        <f>IF('Список деталей'!F245="",0,1)+IF('Список деталей'!G245="",0,1)+'Список деталей'!D245</f>
        <v>0</v>
      </c>
      <c r="U237" s="3" t="str">
        <f>IF(ISBLANK('Список деталей'!K245),"",'Список деталей'!K245)</f>
        <v/>
      </c>
      <c r="V237" s="3" t="str">
        <f>IF(AND('Список деталей'!C245&gt;849,'Список деталей'!D245&gt;849)=TRUE,1*'Список деталей'!E245,"")</f>
        <v/>
      </c>
    </row>
    <row r="238" spans="1:22" x14ac:dyDescent="0.45">
      <c r="A238" s="3" t="str">
        <f>IF(ISNUMBER('Список деталей'!A246), 'Список деталей'!A246, "")</f>
        <v/>
      </c>
      <c r="B238" s="30" t="str">
        <f>IF(ISBLANK('Список деталей'!B246),"",'Список деталей'!B246)</f>
        <v/>
      </c>
      <c r="C238" s="3" t="str">
        <f>IF(ISNUMBER('Список деталей'!C246), $W$4,"")</f>
        <v/>
      </c>
      <c r="D238" s="3" t="str">
        <f>IF(ISNUMBER('Список деталей'!C246), 'Список деталей'!$I$4,"")</f>
        <v/>
      </c>
      <c r="E238" s="24" t="str">
        <f>IF(ISNUMBER('Список деталей'!E246), 'Список деталей'!E246, "")</f>
        <v/>
      </c>
      <c r="F238" s="24" t="str">
        <f>IF(ISNUMBER('Список деталей'!C246), 'Список деталей'!C246, "")</f>
        <v/>
      </c>
      <c r="G238" s="24" t="str">
        <f>IF(ISNUMBER('Список деталей'!D246), 'Список деталей'!D246, "")</f>
        <v/>
      </c>
      <c r="H238" s="3" t="str">
        <f t="shared" si="3"/>
        <v xml:space="preserve">    </v>
      </c>
      <c r="I238" s="3" t="str">
        <f>IF(ISBLANK('Список деталей'!F246),"",VLOOKUP('Список деталей'!F246,обозначениКромки,4,0))</f>
        <v/>
      </c>
      <c r="J238" s="25" t="str">
        <f>IF(ISBLANK('Список деталей'!G246),"",VLOOKUP('Список деталей'!G246,обозначениКромки,4,0))</f>
        <v/>
      </c>
      <c r="K238" s="25" t="str">
        <f>IF(ISBLANK('Список деталей'!H246),"",VLOOKUP('Список деталей'!H246,обозначениКромки,4,0))</f>
        <v/>
      </c>
      <c r="L238" s="25" t="str">
        <f>IF(ISBLANK('Список деталей'!I246),"",VLOOKUP('Список деталей'!I246,обозначениКромки,4,0))</f>
        <v/>
      </c>
      <c r="M238" s="24" t="str">
        <f>IF(ISBLANK('Список деталей'!Y246),"",('Список деталей'!Y246))</f>
        <v/>
      </c>
      <c r="N238" s="3" t="str">
        <f>IF(ISBLANK('Список деталей'!Z246),"",('Список деталей'!Z246))</f>
        <v/>
      </c>
      <c r="O238" s="3" t="str">
        <f>IF(ISBLANK('Список деталей'!AA246),"",('Список деталей'!AA246))</f>
        <v/>
      </c>
      <c r="P238" s="3" t="str">
        <f>IF(ISBLANK('Список деталей'!AB246),"",('Список деталей'!AB246))</f>
        <v/>
      </c>
      <c r="Q238" s="45">
        <f>VLOOKUP(IF(ISBLANK('Список деталей'!H246)=TRUE,7,'Список деталей'!H246),кромка,2,0)+VLOOKUP(IF(ISBLANK('Список деталей'!I246)=TRUE,7,'Список деталей'!I246),кромка,2,0)+'Список деталей'!C246</f>
        <v>0</v>
      </c>
      <c r="R238" s="45">
        <f>VLOOKUP(IF(ISBLANK('Список деталей'!F246)=TRUE,7,'Список деталей'!F246),кромка,2,0)+VLOOKUP(IF(ISBLANK('Список деталей'!G246)=TRUE,7,'Список деталей'!G246),кромка,2,0)+'Список деталей'!D246</f>
        <v>0</v>
      </c>
      <c r="S238" s="42">
        <f>IF('Список деталей'!H246="",0,1)+IF('Список деталей'!I246="",0,1)+'Список деталей'!C246</f>
        <v>0</v>
      </c>
      <c r="T238" s="42">
        <f>IF('Список деталей'!F246="",0,1)+IF('Список деталей'!G246="",0,1)+'Список деталей'!D246</f>
        <v>0</v>
      </c>
      <c r="U238" s="3" t="str">
        <f>IF(ISBLANK('Список деталей'!K246),"",'Список деталей'!K246)</f>
        <v/>
      </c>
      <c r="V238" s="3" t="str">
        <f>IF(AND('Список деталей'!C246&gt;849,'Список деталей'!D246&gt;849)=TRUE,1*'Список деталей'!E246,"")</f>
        <v/>
      </c>
    </row>
    <row r="239" spans="1:22" x14ac:dyDescent="0.45">
      <c r="A239" s="3" t="str">
        <f>IF(ISNUMBER('Список деталей'!A247), 'Список деталей'!A247, "")</f>
        <v/>
      </c>
      <c r="B239" s="30" t="str">
        <f>IF(ISBLANK('Список деталей'!B247),"",'Список деталей'!B247)</f>
        <v/>
      </c>
      <c r="C239" s="3" t="str">
        <f>IF(ISNUMBER('Список деталей'!C247), $W$4,"")</f>
        <v/>
      </c>
      <c r="D239" s="3" t="str">
        <f>IF(ISNUMBER('Список деталей'!C247), 'Список деталей'!$I$4,"")</f>
        <v/>
      </c>
      <c r="E239" s="24" t="str">
        <f>IF(ISNUMBER('Список деталей'!E247), 'Список деталей'!E247, "")</f>
        <v/>
      </c>
      <c r="F239" s="24" t="str">
        <f>IF(ISNUMBER('Список деталей'!C247), 'Список деталей'!C247, "")</f>
        <v/>
      </c>
      <c r="G239" s="24" t="str">
        <f>IF(ISNUMBER('Список деталей'!D247), 'Список деталей'!D247, "")</f>
        <v/>
      </c>
      <c r="H239" s="3" t="str">
        <f t="shared" si="3"/>
        <v xml:space="preserve">    </v>
      </c>
      <c r="I239" s="3" t="str">
        <f>IF(ISBLANK('Список деталей'!F247),"",VLOOKUP('Список деталей'!F247,обозначениКромки,4,0))</f>
        <v/>
      </c>
      <c r="J239" s="25" t="str">
        <f>IF(ISBLANK('Список деталей'!G247),"",VLOOKUP('Список деталей'!G247,обозначениКромки,4,0))</f>
        <v/>
      </c>
      <c r="K239" s="25" t="str">
        <f>IF(ISBLANK('Список деталей'!H247),"",VLOOKUP('Список деталей'!H247,обозначениКромки,4,0))</f>
        <v/>
      </c>
      <c r="L239" s="25" t="str">
        <f>IF(ISBLANK('Список деталей'!I247),"",VLOOKUP('Список деталей'!I247,обозначениКромки,4,0))</f>
        <v/>
      </c>
      <c r="M239" s="24" t="str">
        <f>IF(ISBLANK('Список деталей'!Y247),"",('Список деталей'!Y247))</f>
        <v/>
      </c>
      <c r="N239" s="3" t="str">
        <f>IF(ISBLANK('Список деталей'!Z247),"",('Список деталей'!Z247))</f>
        <v/>
      </c>
      <c r="O239" s="3" t="str">
        <f>IF(ISBLANK('Список деталей'!AA247),"",('Список деталей'!AA247))</f>
        <v/>
      </c>
      <c r="P239" s="3" t="str">
        <f>IF(ISBLANK('Список деталей'!AB247),"",('Список деталей'!AB247))</f>
        <v/>
      </c>
      <c r="Q239" s="45">
        <f>VLOOKUP(IF(ISBLANK('Список деталей'!H247)=TRUE,7,'Список деталей'!H247),кромка,2,0)+VLOOKUP(IF(ISBLANK('Список деталей'!I247)=TRUE,7,'Список деталей'!I247),кромка,2,0)+'Список деталей'!C247</f>
        <v>0</v>
      </c>
      <c r="R239" s="45">
        <f>VLOOKUP(IF(ISBLANK('Список деталей'!F247)=TRUE,7,'Список деталей'!F247),кромка,2,0)+VLOOKUP(IF(ISBLANK('Список деталей'!G247)=TRUE,7,'Список деталей'!G247),кромка,2,0)+'Список деталей'!D247</f>
        <v>0</v>
      </c>
      <c r="S239" s="42">
        <f>IF('Список деталей'!H247="",0,1)+IF('Список деталей'!I247="",0,1)+'Список деталей'!C247</f>
        <v>0</v>
      </c>
      <c r="T239" s="42">
        <f>IF('Список деталей'!F247="",0,1)+IF('Список деталей'!G247="",0,1)+'Список деталей'!D247</f>
        <v>0</v>
      </c>
      <c r="U239" s="3" t="str">
        <f>IF(ISBLANK('Список деталей'!K247),"",'Список деталей'!K247)</f>
        <v/>
      </c>
      <c r="V239" s="3" t="str">
        <f>IF(AND('Список деталей'!C247&gt;849,'Список деталей'!D247&gt;849)=TRUE,1*'Список деталей'!E247,"")</f>
        <v/>
      </c>
    </row>
    <row r="240" spans="1:22" x14ac:dyDescent="0.45">
      <c r="A240" s="3" t="str">
        <f>IF(ISNUMBER('Список деталей'!A248), 'Список деталей'!A248, "")</f>
        <v/>
      </c>
      <c r="B240" s="30" t="str">
        <f>IF(ISBLANK('Список деталей'!B248),"",'Список деталей'!B248)</f>
        <v/>
      </c>
      <c r="C240" s="3" t="str">
        <f>IF(ISNUMBER('Список деталей'!C248), $W$4,"")</f>
        <v/>
      </c>
      <c r="D240" s="3" t="str">
        <f>IF(ISNUMBER('Список деталей'!C248), 'Список деталей'!$I$4,"")</f>
        <v/>
      </c>
      <c r="E240" s="24" t="str">
        <f>IF(ISNUMBER('Список деталей'!E248), 'Список деталей'!E248, "")</f>
        <v/>
      </c>
      <c r="F240" s="24" t="str">
        <f>IF(ISNUMBER('Список деталей'!C248), 'Список деталей'!C248, "")</f>
        <v/>
      </c>
      <c r="G240" s="24" t="str">
        <f>IF(ISNUMBER('Список деталей'!D248), 'Список деталей'!D248, "")</f>
        <v/>
      </c>
      <c r="H240" s="3" t="str">
        <f t="shared" si="3"/>
        <v xml:space="preserve">    </v>
      </c>
      <c r="I240" s="3" t="str">
        <f>IF(ISBLANK('Список деталей'!F248),"",VLOOKUP('Список деталей'!F248,обозначениКромки,4,0))</f>
        <v/>
      </c>
      <c r="J240" s="25" t="str">
        <f>IF(ISBLANK('Список деталей'!G248),"",VLOOKUP('Список деталей'!G248,обозначениКромки,4,0))</f>
        <v/>
      </c>
      <c r="K240" s="25" t="str">
        <f>IF(ISBLANK('Список деталей'!H248),"",VLOOKUP('Список деталей'!H248,обозначениКромки,4,0))</f>
        <v/>
      </c>
      <c r="L240" s="25" t="str">
        <f>IF(ISBLANK('Список деталей'!I248),"",VLOOKUP('Список деталей'!I248,обозначениКромки,4,0))</f>
        <v/>
      </c>
      <c r="M240" s="24" t="str">
        <f>IF(ISBLANK('Список деталей'!Y248),"",('Список деталей'!Y248))</f>
        <v/>
      </c>
      <c r="N240" s="3" t="str">
        <f>IF(ISBLANK('Список деталей'!Z248),"",('Список деталей'!Z248))</f>
        <v/>
      </c>
      <c r="O240" s="3" t="str">
        <f>IF(ISBLANK('Список деталей'!AA248),"",('Список деталей'!AA248))</f>
        <v/>
      </c>
      <c r="P240" s="3" t="str">
        <f>IF(ISBLANK('Список деталей'!AB248),"",('Список деталей'!AB248))</f>
        <v/>
      </c>
      <c r="Q240" s="45">
        <f>VLOOKUP(IF(ISBLANK('Список деталей'!H248)=TRUE,7,'Список деталей'!H248),кромка,2,0)+VLOOKUP(IF(ISBLANK('Список деталей'!I248)=TRUE,7,'Список деталей'!I248),кромка,2,0)+'Список деталей'!C248</f>
        <v>0</v>
      </c>
      <c r="R240" s="45">
        <f>VLOOKUP(IF(ISBLANK('Список деталей'!F248)=TRUE,7,'Список деталей'!F248),кромка,2,0)+VLOOKUP(IF(ISBLANK('Список деталей'!G248)=TRUE,7,'Список деталей'!G248),кромка,2,0)+'Список деталей'!D248</f>
        <v>0</v>
      </c>
      <c r="S240" s="42">
        <f>IF('Список деталей'!H248="",0,1)+IF('Список деталей'!I248="",0,1)+'Список деталей'!C248</f>
        <v>0</v>
      </c>
      <c r="T240" s="42">
        <f>IF('Список деталей'!F248="",0,1)+IF('Список деталей'!G248="",0,1)+'Список деталей'!D248</f>
        <v>0</v>
      </c>
      <c r="U240" s="3" t="str">
        <f>IF(ISBLANK('Список деталей'!K248),"",'Список деталей'!K248)</f>
        <v/>
      </c>
      <c r="V240" s="3" t="str">
        <f>IF(AND('Список деталей'!C248&gt;849,'Список деталей'!D248&gt;849)=TRUE,1*'Список деталей'!E248,"")</f>
        <v/>
      </c>
    </row>
    <row r="241" spans="1:22" x14ac:dyDescent="0.45">
      <c r="A241" s="3" t="str">
        <f>IF(ISNUMBER('Список деталей'!A249), 'Список деталей'!A249, "")</f>
        <v/>
      </c>
      <c r="B241" s="30" t="str">
        <f>IF(ISBLANK('Список деталей'!B249),"",'Список деталей'!B249)</f>
        <v/>
      </c>
      <c r="C241" s="3" t="str">
        <f>IF(ISNUMBER('Список деталей'!C249), $W$4,"")</f>
        <v/>
      </c>
      <c r="D241" s="3" t="str">
        <f>IF(ISNUMBER('Список деталей'!C249), 'Список деталей'!$I$4,"")</f>
        <v/>
      </c>
      <c r="E241" s="24" t="str">
        <f>IF(ISNUMBER('Список деталей'!E249), 'Список деталей'!E249, "")</f>
        <v/>
      </c>
      <c r="F241" s="24" t="str">
        <f>IF(ISNUMBER('Список деталей'!C249), 'Список деталей'!C249, "")</f>
        <v/>
      </c>
      <c r="G241" s="24" t="str">
        <f>IF(ISNUMBER('Список деталей'!D249), 'Список деталей'!D249, "")</f>
        <v/>
      </c>
      <c r="H241" s="3" t="str">
        <f t="shared" si="3"/>
        <v xml:space="preserve">    </v>
      </c>
      <c r="I241" s="3" t="str">
        <f>IF(ISBLANK('Список деталей'!F249),"",VLOOKUP('Список деталей'!F249,обозначениКромки,4,0))</f>
        <v/>
      </c>
      <c r="J241" s="25" t="str">
        <f>IF(ISBLANK('Список деталей'!G249),"",VLOOKUP('Список деталей'!G249,обозначениКромки,4,0))</f>
        <v/>
      </c>
      <c r="K241" s="25" t="str">
        <f>IF(ISBLANK('Список деталей'!H249),"",VLOOKUP('Список деталей'!H249,обозначениКромки,4,0))</f>
        <v/>
      </c>
      <c r="L241" s="25" t="str">
        <f>IF(ISBLANK('Список деталей'!I249),"",VLOOKUP('Список деталей'!I249,обозначениКромки,4,0))</f>
        <v/>
      </c>
      <c r="M241" s="24" t="str">
        <f>IF(ISBLANK('Список деталей'!Y249),"",('Список деталей'!Y249))</f>
        <v/>
      </c>
      <c r="N241" s="3" t="str">
        <f>IF(ISBLANK('Список деталей'!Z249),"",('Список деталей'!Z249))</f>
        <v/>
      </c>
      <c r="O241" s="3" t="str">
        <f>IF(ISBLANK('Список деталей'!AA249),"",('Список деталей'!AA249))</f>
        <v/>
      </c>
      <c r="P241" s="3" t="str">
        <f>IF(ISBLANK('Список деталей'!AB249),"",('Список деталей'!AB249))</f>
        <v/>
      </c>
      <c r="Q241" s="45">
        <f>VLOOKUP(IF(ISBLANK('Список деталей'!H249)=TRUE,7,'Список деталей'!H249),кромка,2,0)+VLOOKUP(IF(ISBLANK('Список деталей'!I249)=TRUE,7,'Список деталей'!I249),кромка,2,0)+'Список деталей'!C249</f>
        <v>0</v>
      </c>
      <c r="R241" s="45">
        <f>VLOOKUP(IF(ISBLANK('Список деталей'!F249)=TRUE,7,'Список деталей'!F249),кромка,2,0)+VLOOKUP(IF(ISBLANK('Список деталей'!G249)=TRUE,7,'Список деталей'!G249),кромка,2,0)+'Список деталей'!D249</f>
        <v>0</v>
      </c>
      <c r="S241" s="42">
        <f>IF('Список деталей'!H249="",0,1)+IF('Список деталей'!I249="",0,1)+'Список деталей'!C249</f>
        <v>0</v>
      </c>
      <c r="T241" s="42">
        <f>IF('Список деталей'!F249="",0,1)+IF('Список деталей'!G249="",0,1)+'Список деталей'!D249</f>
        <v>0</v>
      </c>
      <c r="U241" s="3" t="str">
        <f>IF(ISBLANK('Список деталей'!K249),"",'Список деталей'!K249)</f>
        <v/>
      </c>
      <c r="V241" s="3" t="str">
        <f>IF(AND('Список деталей'!C249&gt;849,'Список деталей'!D249&gt;849)=TRUE,1*'Список деталей'!E249,"")</f>
        <v/>
      </c>
    </row>
    <row r="242" spans="1:22" x14ac:dyDescent="0.45">
      <c r="A242" s="3" t="str">
        <f>IF(ISNUMBER('Список деталей'!A250), 'Список деталей'!A250, "")</f>
        <v/>
      </c>
      <c r="B242" s="30" t="str">
        <f>IF(ISBLANK('Список деталей'!B250),"",'Список деталей'!B250)</f>
        <v/>
      </c>
      <c r="C242" s="3" t="str">
        <f>IF(ISNUMBER('Список деталей'!C250), $W$4,"")</f>
        <v/>
      </c>
      <c r="D242" s="3" t="str">
        <f>IF(ISNUMBER('Список деталей'!C250), 'Список деталей'!$I$4,"")</f>
        <v/>
      </c>
      <c r="E242" s="24" t="str">
        <f>IF(ISNUMBER('Список деталей'!E250), 'Список деталей'!E250, "")</f>
        <v/>
      </c>
      <c r="F242" s="24" t="str">
        <f>IF(ISNUMBER('Список деталей'!C250), 'Список деталей'!C250, "")</f>
        <v/>
      </c>
      <c r="G242" s="24" t="str">
        <f>IF(ISNUMBER('Список деталей'!D250), 'Список деталей'!D250, "")</f>
        <v/>
      </c>
      <c r="H242" s="3" t="str">
        <f t="shared" si="3"/>
        <v xml:space="preserve">    </v>
      </c>
      <c r="I242" s="3" t="str">
        <f>IF(ISBLANK('Список деталей'!F250),"",VLOOKUP('Список деталей'!F250,обозначениКромки,4,0))</f>
        <v/>
      </c>
      <c r="J242" s="25" t="str">
        <f>IF(ISBLANK('Список деталей'!G250),"",VLOOKUP('Список деталей'!G250,обозначениКромки,4,0))</f>
        <v/>
      </c>
      <c r="K242" s="25" t="str">
        <f>IF(ISBLANK('Список деталей'!H250),"",VLOOKUP('Список деталей'!H250,обозначениКромки,4,0))</f>
        <v/>
      </c>
      <c r="L242" s="25" t="str">
        <f>IF(ISBLANK('Список деталей'!I250),"",VLOOKUP('Список деталей'!I250,обозначениКромки,4,0))</f>
        <v/>
      </c>
      <c r="M242" s="24" t="str">
        <f>IF(ISBLANK('Список деталей'!Y250),"",('Список деталей'!Y250))</f>
        <v/>
      </c>
      <c r="N242" s="3" t="str">
        <f>IF(ISBLANK('Список деталей'!Z250),"",('Список деталей'!Z250))</f>
        <v/>
      </c>
      <c r="O242" s="3" t="str">
        <f>IF(ISBLANK('Список деталей'!AA250),"",('Список деталей'!AA250))</f>
        <v/>
      </c>
      <c r="P242" s="3" t="str">
        <f>IF(ISBLANK('Список деталей'!AB250),"",('Список деталей'!AB250))</f>
        <v/>
      </c>
      <c r="Q242" s="45">
        <f>VLOOKUP(IF(ISBLANK('Список деталей'!H250)=TRUE,7,'Список деталей'!H250),кромка,2,0)+VLOOKUP(IF(ISBLANK('Список деталей'!I250)=TRUE,7,'Список деталей'!I250),кромка,2,0)+'Список деталей'!C250</f>
        <v>0</v>
      </c>
      <c r="R242" s="45">
        <f>VLOOKUP(IF(ISBLANK('Список деталей'!F250)=TRUE,7,'Список деталей'!F250),кромка,2,0)+VLOOKUP(IF(ISBLANK('Список деталей'!G250)=TRUE,7,'Список деталей'!G250),кромка,2,0)+'Список деталей'!D250</f>
        <v>0</v>
      </c>
      <c r="S242" s="42">
        <f>IF('Список деталей'!H250="",0,1)+IF('Список деталей'!I250="",0,1)+'Список деталей'!C250</f>
        <v>0</v>
      </c>
      <c r="T242" s="42">
        <f>IF('Список деталей'!F250="",0,1)+IF('Список деталей'!G250="",0,1)+'Список деталей'!D250</f>
        <v>0</v>
      </c>
      <c r="U242" s="3" t="str">
        <f>IF(ISBLANK('Список деталей'!K250),"",'Список деталей'!K250)</f>
        <v/>
      </c>
      <c r="V242" s="3" t="str">
        <f>IF(AND('Список деталей'!C250&gt;849,'Список деталей'!D250&gt;849)=TRUE,1*'Список деталей'!E250,"")</f>
        <v/>
      </c>
    </row>
    <row r="243" spans="1:22" x14ac:dyDescent="0.45">
      <c r="A243" s="3" t="str">
        <f>IF(ISNUMBER('Список деталей'!A251), 'Список деталей'!A251, "")</f>
        <v/>
      </c>
      <c r="B243" s="30" t="str">
        <f>IF(ISBLANK('Список деталей'!B251),"",'Список деталей'!B251)</f>
        <v/>
      </c>
      <c r="C243" s="3" t="str">
        <f>IF(ISNUMBER('Список деталей'!C251), $W$4,"")</f>
        <v/>
      </c>
      <c r="D243" s="3" t="str">
        <f>IF(ISNUMBER('Список деталей'!C251), 'Список деталей'!$I$4,"")</f>
        <v/>
      </c>
      <c r="E243" s="24" t="str">
        <f>IF(ISNUMBER('Список деталей'!E251), 'Список деталей'!E251, "")</f>
        <v/>
      </c>
      <c r="F243" s="24" t="str">
        <f>IF(ISNUMBER('Список деталей'!C251), 'Список деталей'!C251, "")</f>
        <v/>
      </c>
      <c r="G243" s="24" t="str">
        <f>IF(ISNUMBER('Список деталей'!D251), 'Список деталей'!D251, "")</f>
        <v/>
      </c>
      <c r="H243" s="3" t="str">
        <f t="shared" si="3"/>
        <v xml:space="preserve">    </v>
      </c>
      <c r="I243" s="3" t="str">
        <f>IF(ISBLANK('Список деталей'!F251),"",VLOOKUP('Список деталей'!F251,обозначениКромки,4,0))</f>
        <v/>
      </c>
      <c r="J243" s="25" t="str">
        <f>IF(ISBLANK('Список деталей'!G251),"",VLOOKUP('Список деталей'!G251,обозначениКромки,4,0))</f>
        <v/>
      </c>
      <c r="K243" s="25" t="str">
        <f>IF(ISBLANK('Список деталей'!H251),"",VLOOKUP('Список деталей'!H251,обозначениКромки,4,0))</f>
        <v/>
      </c>
      <c r="L243" s="25" t="str">
        <f>IF(ISBLANK('Список деталей'!I251),"",VLOOKUP('Список деталей'!I251,обозначениКромки,4,0))</f>
        <v/>
      </c>
      <c r="M243" s="24" t="str">
        <f>IF(ISBLANK('Список деталей'!Y251),"",('Список деталей'!Y251))</f>
        <v/>
      </c>
      <c r="N243" s="3" t="str">
        <f>IF(ISBLANK('Список деталей'!Z251),"",('Список деталей'!Z251))</f>
        <v/>
      </c>
      <c r="O243" s="3" t="str">
        <f>IF(ISBLANK('Список деталей'!AA251),"",('Список деталей'!AA251))</f>
        <v/>
      </c>
      <c r="P243" s="3" t="str">
        <f>IF(ISBLANK('Список деталей'!AB251),"",('Список деталей'!AB251))</f>
        <v/>
      </c>
      <c r="Q243" s="45">
        <f>VLOOKUP(IF(ISBLANK('Список деталей'!H251)=TRUE,7,'Список деталей'!H251),кромка,2,0)+VLOOKUP(IF(ISBLANK('Список деталей'!I251)=TRUE,7,'Список деталей'!I251),кромка,2,0)+'Список деталей'!C251</f>
        <v>0</v>
      </c>
      <c r="R243" s="45">
        <f>VLOOKUP(IF(ISBLANK('Список деталей'!F251)=TRUE,7,'Список деталей'!F251),кромка,2,0)+VLOOKUP(IF(ISBLANK('Список деталей'!G251)=TRUE,7,'Список деталей'!G251),кромка,2,0)+'Список деталей'!D251</f>
        <v>0</v>
      </c>
      <c r="S243" s="42">
        <f>IF('Список деталей'!H251="",0,1)+IF('Список деталей'!I251="",0,1)+'Список деталей'!C251</f>
        <v>0</v>
      </c>
      <c r="T243" s="42">
        <f>IF('Список деталей'!F251="",0,1)+IF('Список деталей'!G251="",0,1)+'Список деталей'!D251</f>
        <v>0</v>
      </c>
      <c r="U243" s="3" t="str">
        <f>IF(ISBLANK('Список деталей'!K251),"",'Список деталей'!K251)</f>
        <v/>
      </c>
      <c r="V243" s="3" t="str">
        <f>IF(AND('Список деталей'!C251&gt;849,'Список деталей'!D251&gt;849)=TRUE,1*'Список деталей'!E251,"")</f>
        <v/>
      </c>
    </row>
    <row r="244" spans="1:22" x14ac:dyDescent="0.45">
      <c r="A244" s="3" t="str">
        <f>IF(ISNUMBER('Список деталей'!A252), 'Список деталей'!A252, "")</f>
        <v/>
      </c>
      <c r="B244" s="30" t="str">
        <f>IF(ISBLANK('Список деталей'!B252),"",'Список деталей'!B252)</f>
        <v/>
      </c>
      <c r="C244" s="3" t="str">
        <f>IF(ISNUMBER('Список деталей'!C252), $W$4,"")</f>
        <v/>
      </c>
      <c r="D244" s="3" t="str">
        <f>IF(ISNUMBER('Список деталей'!C252), 'Список деталей'!$I$4,"")</f>
        <v/>
      </c>
      <c r="E244" s="24" t="str">
        <f>IF(ISNUMBER('Список деталей'!E252), 'Список деталей'!E252, "")</f>
        <v/>
      </c>
      <c r="F244" s="24" t="str">
        <f>IF(ISNUMBER('Список деталей'!C252), 'Список деталей'!C252, "")</f>
        <v/>
      </c>
      <c r="G244" s="24" t="str">
        <f>IF(ISNUMBER('Список деталей'!D252), 'Список деталей'!D252, "")</f>
        <v/>
      </c>
      <c r="H244" s="3" t="str">
        <f t="shared" si="3"/>
        <v xml:space="preserve">    </v>
      </c>
      <c r="I244" s="3" t="str">
        <f>IF(ISBLANK('Список деталей'!F252),"",VLOOKUP('Список деталей'!F252,обозначениКромки,4,0))</f>
        <v/>
      </c>
      <c r="J244" s="25" t="str">
        <f>IF(ISBLANK('Список деталей'!G252),"",VLOOKUP('Список деталей'!G252,обозначениКромки,4,0))</f>
        <v/>
      </c>
      <c r="K244" s="25" t="str">
        <f>IF(ISBLANK('Список деталей'!H252),"",VLOOKUP('Список деталей'!H252,обозначениКромки,4,0))</f>
        <v/>
      </c>
      <c r="L244" s="25" t="str">
        <f>IF(ISBLANK('Список деталей'!I252),"",VLOOKUP('Список деталей'!I252,обозначениКромки,4,0))</f>
        <v/>
      </c>
      <c r="M244" s="24" t="str">
        <f>IF(ISBLANK('Список деталей'!Y252),"",('Список деталей'!Y252))</f>
        <v/>
      </c>
      <c r="N244" s="3" t="str">
        <f>IF(ISBLANK('Список деталей'!Z252),"",('Список деталей'!Z252))</f>
        <v/>
      </c>
      <c r="O244" s="3" t="str">
        <f>IF(ISBLANK('Список деталей'!AA252),"",('Список деталей'!AA252))</f>
        <v/>
      </c>
      <c r="P244" s="3" t="str">
        <f>IF(ISBLANK('Список деталей'!AB252),"",('Список деталей'!AB252))</f>
        <v/>
      </c>
      <c r="Q244" s="45">
        <f>VLOOKUP(IF(ISBLANK('Список деталей'!H252)=TRUE,7,'Список деталей'!H252),кромка,2,0)+VLOOKUP(IF(ISBLANK('Список деталей'!I252)=TRUE,7,'Список деталей'!I252),кромка,2,0)+'Список деталей'!C252</f>
        <v>0</v>
      </c>
      <c r="R244" s="45">
        <f>VLOOKUP(IF(ISBLANK('Список деталей'!F252)=TRUE,7,'Список деталей'!F252),кромка,2,0)+VLOOKUP(IF(ISBLANK('Список деталей'!G252)=TRUE,7,'Список деталей'!G252),кромка,2,0)+'Список деталей'!D252</f>
        <v>0</v>
      </c>
      <c r="S244" s="42">
        <f>IF('Список деталей'!H252="",0,1)+IF('Список деталей'!I252="",0,1)+'Список деталей'!C252</f>
        <v>0</v>
      </c>
      <c r="T244" s="42">
        <f>IF('Список деталей'!F252="",0,1)+IF('Список деталей'!G252="",0,1)+'Список деталей'!D252</f>
        <v>0</v>
      </c>
      <c r="U244" s="3" t="str">
        <f>IF(ISBLANK('Список деталей'!K252),"",'Список деталей'!K252)</f>
        <v/>
      </c>
      <c r="V244" s="3" t="str">
        <f>IF(AND('Список деталей'!C252&gt;849,'Список деталей'!D252&gt;849)=TRUE,1*'Список деталей'!E252,"")</f>
        <v/>
      </c>
    </row>
    <row r="245" spans="1:22" x14ac:dyDescent="0.45">
      <c r="A245" s="3" t="str">
        <f>IF(ISNUMBER('Список деталей'!A253), 'Список деталей'!A253, "")</f>
        <v/>
      </c>
      <c r="B245" s="30" t="str">
        <f>IF(ISBLANK('Список деталей'!B253),"",'Список деталей'!B253)</f>
        <v/>
      </c>
      <c r="C245" s="3" t="str">
        <f>IF(ISNUMBER('Список деталей'!C253), $W$4,"")</f>
        <v/>
      </c>
      <c r="D245" s="3" t="str">
        <f>IF(ISNUMBER('Список деталей'!C253), 'Список деталей'!$I$4,"")</f>
        <v/>
      </c>
      <c r="E245" s="24" t="str">
        <f>IF(ISNUMBER('Список деталей'!E253), 'Список деталей'!E253, "")</f>
        <v/>
      </c>
      <c r="F245" s="24" t="str">
        <f>IF(ISNUMBER('Список деталей'!C253), 'Список деталей'!C253, "")</f>
        <v/>
      </c>
      <c r="G245" s="24" t="str">
        <f>IF(ISNUMBER('Список деталей'!D253), 'Список деталей'!D253, "")</f>
        <v/>
      </c>
      <c r="H245" s="3" t="str">
        <f t="shared" si="3"/>
        <v xml:space="preserve">    </v>
      </c>
      <c r="I245" s="3" t="str">
        <f>IF(ISBLANK('Список деталей'!F253),"",VLOOKUP('Список деталей'!F253,обозначениКромки,4,0))</f>
        <v/>
      </c>
      <c r="J245" s="25" t="str">
        <f>IF(ISBLANK('Список деталей'!G253),"",VLOOKUP('Список деталей'!G253,обозначениКромки,4,0))</f>
        <v/>
      </c>
      <c r="K245" s="25" t="str">
        <f>IF(ISBLANK('Список деталей'!H253),"",VLOOKUP('Список деталей'!H253,обозначениКромки,4,0))</f>
        <v/>
      </c>
      <c r="L245" s="25" t="str">
        <f>IF(ISBLANK('Список деталей'!I253),"",VLOOKUP('Список деталей'!I253,обозначениКромки,4,0))</f>
        <v/>
      </c>
      <c r="M245" s="24" t="str">
        <f>IF(ISBLANK('Список деталей'!Y253),"",('Список деталей'!Y253))</f>
        <v/>
      </c>
      <c r="N245" s="3" t="str">
        <f>IF(ISBLANK('Список деталей'!Z253),"",('Список деталей'!Z253))</f>
        <v/>
      </c>
      <c r="O245" s="3" t="str">
        <f>IF(ISBLANK('Список деталей'!AA253),"",('Список деталей'!AA253))</f>
        <v/>
      </c>
      <c r="P245" s="3" t="str">
        <f>IF(ISBLANK('Список деталей'!AB253),"",('Список деталей'!AB253))</f>
        <v/>
      </c>
      <c r="Q245" s="45">
        <f>VLOOKUP(IF(ISBLANK('Список деталей'!H253)=TRUE,7,'Список деталей'!H253),кромка,2,0)+VLOOKUP(IF(ISBLANK('Список деталей'!I253)=TRUE,7,'Список деталей'!I253),кромка,2,0)+'Список деталей'!C253</f>
        <v>0</v>
      </c>
      <c r="R245" s="45">
        <f>VLOOKUP(IF(ISBLANK('Список деталей'!F253)=TRUE,7,'Список деталей'!F253),кромка,2,0)+VLOOKUP(IF(ISBLANK('Список деталей'!G253)=TRUE,7,'Список деталей'!G253),кромка,2,0)+'Список деталей'!D253</f>
        <v>0</v>
      </c>
      <c r="S245" s="42">
        <f>IF('Список деталей'!H253="",0,1)+IF('Список деталей'!I253="",0,1)+'Список деталей'!C253</f>
        <v>0</v>
      </c>
      <c r="T245" s="42">
        <f>IF('Список деталей'!F253="",0,1)+IF('Список деталей'!G253="",0,1)+'Список деталей'!D253</f>
        <v>0</v>
      </c>
      <c r="U245" s="3" t="str">
        <f>IF(ISBLANK('Список деталей'!K253),"",'Список деталей'!K253)</f>
        <v/>
      </c>
      <c r="V245" s="3" t="str">
        <f>IF(AND('Список деталей'!C253&gt;849,'Список деталей'!D253&gt;849)=TRUE,1*'Список деталей'!E253,"")</f>
        <v/>
      </c>
    </row>
    <row r="246" spans="1:22" x14ac:dyDescent="0.45">
      <c r="A246" s="3" t="str">
        <f>IF(ISNUMBER('Список деталей'!A254), 'Список деталей'!A254, "")</f>
        <v/>
      </c>
      <c r="B246" s="30" t="str">
        <f>IF(ISBLANK('Список деталей'!B254),"",'Список деталей'!B254)</f>
        <v/>
      </c>
      <c r="C246" s="3" t="str">
        <f>IF(ISNUMBER('Список деталей'!C254), $W$4,"")</f>
        <v/>
      </c>
      <c r="D246" s="3" t="str">
        <f>IF(ISNUMBER('Список деталей'!C254), 'Список деталей'!$I$4,"")</f>
        <v/>
      </c>
      <c r="E246" s="24" t="str">
        <f>IF(ISNUMBER('Список деталей'!E254), 'Список деталей'!E254, "")</f>
        <v/>
      </c>
      <c r="F246" s="24" t="str">
        <f>IF(ISNUMBER('Список деталей'!C254), 'Список деталей'!C254, "")</f>
        <v/>
      </c>
      <c r="G246" s="24" t="str">
        <f>IF(ISNUMBER('Список деталей'!D254), 'Список деталей'!D254, "")</f>
        <v/>
      </c>
      <c r="H246" s="3" t="str">
        <f t="shared" si="3"/>
        <v xml:space="preserve">    </v>
      </c>
      <c r="I246" s="3" t="str">
        <f>IF(ISBLANK('Список деталей'!F254),"",VLOOKUP('Список деталей'!F254,обозначениКромки,4,0))</f>
        <v/>
      </c>
      <c r="J246" s="25" t="str">
        <f>IF(ISBLANK('Список деталей'!G254),"",VLOOKUP('Список деталей'!G254,обозначениКромки,4,0))</f>
        <v/>
      </c>
      <c r="K246" s="25" t="str">
        <f>IF(ISBLANK('Список деталей'!H254),"",VLOOKUP('Список деталей'!H254,обозначениКромки,4,0))</f>
        <v/>
      </c>
      <c r="L246" s="25" t="str">
        <f>IF(ISBLANK('Список деталей'!I254),"",VLOOKUP('Список деталей'!I254,обозначениКромки,4,0))</f>
        <v/>
      </c>
      <c r="M246" s="24" t="str">
        <f>IF(ISBLANK('Список деталей'!Y254),"",('Список деталей'!Y254))</f>
        <v/>
      </c>
      <c r="N246" s="3" t="str">
        <f>IF(ISBLANK('Список деталей'!Z254),"",('Список деталей'!Z254))</f>
        <v/>
      </c>
      <c r="O246" s="3" t="str">
        <f>IF(ISBLANK('Список деталей'!AA254),"",('Список деталей'!AA254))</f>
        <v/>
      </c>
      <c r="P246" s="3" t="str">
        <f>IF(ISBLANK('Список деталей'!AB254),"",('Список деталей'!AB254))</f>
        <v/>
      </c>
      <c r="Q246" s="45">
        <f>VLOOKUP(IF(ISBLANK('Список деталей'!H254)=TRUE,7,'Список деталей'!H254),кромка,2,0)+VLOOKUP(IF(ISBLANK('Список деталей'!I254)=TRUE,7,'Список деталей'!I254),кромка,2,0)+'Список деталей'!C254</f>
        <v>0</v>
      </c>
      <c r="R246" s="45">
        <f>VLOOKUP(IF(ISBLANK('Список деталей'!F254)=TRUE,7,'Список деталей'!F254),кромка,2,0)+VLOOKUP(IF(ISBLANK('Список деталей'!G254)=TRUE,7,'Список деталей'!G254),кромка,2,0)+'Список деталей'!D254</f>
        <v>0</v>
      </c>
      <c r="S246" s="42">
        <f>IF('Список деталей'!H254="",0,1)+IF('Список деталей'!I254="",0,1)+'Список деталей'!C254</f>
        <v>0</v>
      </c>
      <c r="T246" s="42">
        <f>IF('Список деталей'!F254="",0,1)+IF('Список деталей'!G254="",0,1)+'Список деталей'!D254</f>
        <v>0</v>
      </c>
      <c r="U246" s="3" t="str">
        <f>IF(ISBLANK('Список деталей'!K254),"",'Список деталей'!K254)</f>
        <v/>
      </c>
      <c r="V246" s="3" t="str">
        <f>IF(AND('Список деталей'!C254&gt;849,'Список деталей'!D254&gt;849)=TRUE,1*'Список деталей'!E254,"")</f>
        <v/>
      </c>
    </row>
    <row r="247" spans="1:22" x14ac:dyDescent="0.45">
      <c r="A247" s="3" t="str">
        <f>IF(ISNUMBER('Список деталей'!A255), 'Список деталей'!A255, "")</f>
        <v/>
      </c>
      <c r="B247" s="30" t="str">
        <f>IF(ISBLANK('Список деталей'!B255),"",'Список деталей'!B255)</f>
        <v/>
      </c>
      <c r="C247" s="3" t="str">
        <f>IF(ISNUMBER('Список деталей'!C255), $W$4,"")</f>
        <v/>
      </c>
      <c r="D247" s="3" t="str">
        <f>IF(ISNUMBER('Список деталей'!C255), 'Список деталей'!$I$4,"")</f>
        <v/>
      </c>
      <c r="E247" s="24" t="str">
        <f>IF(ISNUMBER('Список деталей'!E255), 'Список деталей'!E255, "")</f>
        <v/>
      </c>
      <c r="F247" s="24" t="str">
        <f>IF(ISNUMBER('Список деталей'!C255), 'Список деталей'!C255, "")</f>
        <v/>
      </c>
      <c r="G247" s="24" t="str">
        <f>IF(ISNUMBER('Список деталей'!D255), 'Список деталей'!D255, "")</f>
        <v/>
      </c>
      <c r="H247" s="3" t="str">
        <f t="shared" si="3"/>
        <v xml:space="preserve">    </v>
      </c>
      <c r="I247" s="3" t="str">
        <f>IF(ISBLANK('Список деталей'!F255),"",VLOOKUP('Список деталей'!F255,обозначениКромки,4,0))</f>
        <v/>
      </c>
      <c r="J247" s="25" t="str">
        <f>IF(ISBLANK('Список деталей'!G255),"",VLOOKUP('Список деталей'!G255,обозначениКромки,4,0))</f>
        <v/>
      </c>
      <c r="K247" s="25" t="str">
        <f>IF(ISBLANK('Список деталей'!H255),"",VLOOKUP('Список деталей'!H255,обозначениКромки,4,0))</f>
        <v/>
      </c>
      <c r="L247" s="25" t="str">
        <f>IF(ISBLANK('Список деталей'!I255),"",VLOOKUP('Список деталей'!I255,обозначениКромки,4,0))</f>
        <v/>
      </c>
      <c r="M247" s="24" t="str">
        <f>IF(ISBLANK('Список деталей'!Y255),"",('Список деталей'!Y255))</f>
        <v/>
      </c>
      <c r="N247" s="3" t="str">
        <f>IF(ISBLANK('Список деталей'!Z255),"",('Список деталей'!Z255))</f>
        <v/>
      </c>
      <c r="O247" s="3" t="str">
        <f>IF(ISBLANK('Список деталей'!AA255),"",('Список деталей'!AA255))</f>
        <v/>
      </c>
      <c r="P247" s="3" t="str">
        <f>IF(ISBLANK('Список деталей'!AB255),"",('Список деталей'!AB255))</f>
        <v/>
      </c>
      <c r="Q247" s="45">
        <f>VLOOKUP(IF(ISBLANK('Список деталей'!H255)=TRUE,7,'Список деталей'!H255),кромка,2,0)+VLOOKUP(IF(ISBLANK('Список деталей'!I255)=TRUE,7,'Список деталей'!I255),кромка,2,0)+'Список деталей'!C255</f>
        <v>0</v>
      </c>
      <c r="R247" s="45">
        <f>VLOOKUP(IF(ISBLANK('Список деталей'!F255)=TRUE,7,'Список деталей'!F255),кромка,2,0)+VLOOKUP(IF(ISBLANK('Список деталей'!G255)=TRUE,7,'Список деталей'!G255),кромка,2,0)+'Список деталей'!D255</f>
        <v>0</v>
      </c>
      <c r="S247" s="42">
        <f>IF('Список деталей'!H255="",0,1)+IF('Список деталей'!I255="",0,1)+'Список деталей'!C255</f>
        <v>0</v>
      </c>
      <c r="T247" s="42">
        <f>IF('Список деталей'!F255="",0,1)+IF('Список деталей'!G255="",0,1)+'Список деталей'!D255</f>
        <v>0</v>
      </c>
      <c r="U247" s="3" t="str">
        <f>IF(ISBLANK('Список деталей'!K255),"",'Список деталей'!K255)</f>
        <v/>
      </c>
      <c r="V247" s="3" t="str">
        <f>IF(AND('Список деталей'!C255&gt;849,'Список деталей'!D255&gt;849)=TRUE,1*'Список деталей'!E255,"")</f>
        <v/>
      </c>
    </row>
    <row r="248" spans="1:22" x14ac:dyDescent="0.45">
      <c r="A248" s="3" t="str">
        <f>IF(ISNUMBER('Список деталей'!A256), 'Список деталей'!A256, "")</f>
        <v/>
      </c>
      <c r="B248" s="30" t="str">
        <f>IF(ISBLANK('Список деталей'!B256),"",'Список деталей'!B256)</f>
        <v/>
      </c>
      <c r="C248" s="3" t="str">
        <f>IF(ISNUMBER('Список деталей'!C256), $W$4,"")</f>
        <v/>
      </c>
      <c r="D248" s="3" t="str">
        <f>IF(ISNUMBER('Список деталей'!C256), 'Список деталей'!$I$4,"")</f>
        <v/>
      </c>
      <c r="E248" s="24" t="str">
        <f>IF(ISNUMBER('Список деталей'!E256), 'Список деталей'!E256, "")</f>
        <v/>
      </c>
      <c r="F248" s="24" t="str">
        <f>IF(ISNUMBER('Список деталей'!C256), 'Список деталей'!C256, "")</f>
        <v/>
      </c>
      <c r="G248" s="24" t="str">
        <f>IF(ISNUMBER('Список деталей'!D256), 'Список деталей'!D256, "")</f>
        <v/>
      </c>
      <c r="H248" s="3" t="str">
        <f t="shared" si="3"/>
        <v xml:space="preserve">    </v>
      </c>
      <c r="I248" s="3" t="str">
        <f>IF(ISBLANK('Список деталей'!F256),"",VLOOKUP('Список деталей'!F256,обозначениКромки,4,0))</f>
        <v/>
      </c>
      <c r="J248" s="25" t="str">
        <f>IF(ISBLANK('Список деталей'!G256),"",VLOOKUP('Список деталей'!G256,обозначениКромки,4,0))</f>
        <v/>
      </c>
      <c r="K248" s="25" t="str">
        <f>IF(ISBLANK('Список деталей'!H256),"",VLOOKUP('Список деталей'!H256,обозначениКромки,4,0))</f>
        <v/>
      </c>
      <c r="L248" s="25" t="str">
        <f>IF(ISBLANK('Список деталей'!I256),"",VLOOKUP('Список деталей'!I256,обозначениКромки,4,0))</f>
        <v/>
      </c>
      <c r="M248" s="24" t="str">
        <f>IF(ISBLANK('Список деталей'!Y256),"",('Список деталей'!Y256))</f>
        <v/>
      </c>
      <c r="N248" s="3" t="str">
        <f>IF(ISBLANK('Список деталей'!Z256),"",('Список деталей'!Z256))</f>
        <v/>
      </c>
      <c r="O248" s="3" t="str">
        <f>IF(ISBLANK('Список деталей'!AA256),"",('Список деталей'!AA256))</f>
        <v/>
      </c>
      <c r="P248" s="3" t="str">
        <f>IF(ISBLANK('Список деталей'!AB256),"",('Список деталей'!AB256))</f>
        <v/>
      </c>
      <c r="Q248" s="45">
        <f>VLOOKUP(IF(ISBLANK('Список деталей'!H256)=TRUE,7,'Список деталей'!H256),кромка,2,0)+VLOOKUP(IF(ISBLANK('Список деталей'!I256)=TRUE,7,'Список деталей'!I256),кромка,2,0)+'Список деталей'!C256</f>
        <v>0</v>
      </c>
      <c r="R248" s="45">
        <f>VLOOKUP(IF(ISBLANK('Список деталей'!F256)=TRUE,7,'Список деталей'!F256),кромка,2,0)+VLOOKUP(IF(ISBLANK('Список деталей'!G256)=TRUE,7,'Список деталей'!G256),кромка,2,0)+'Список деталей'!D256</f>
        <v>0</v>
      </c>
      <c r="S248" s="42">
        <f>IF('Список деталей'!H256="",0,1)+IF('Список деталей'!I256="",0,1)+'Список деталей'!C256</f>
        <v>0</v>
      </c>
      <c r="T248" s="42">
        <f>IF('Список деталей'!F256="",0,1)+IF('Список деталей'!G256="",0,1)+'Список деталей'!D256</f>
        <v>0</v>
      </c>
      <c r="U248" s="3" t="str">
        <f>IF(ISBLANK('Список деталей'!K256),"",'Список деталей'!K256)</f>
        <v/>
      </c>
      <c r="V248" s="3" t="str">
        <f>IF(AND('Список деталей'!C256&gt;849,'Список деталей'!D256&gt;849)=TRUE,1*'Список деталей'!E256,"")</f>
        <v/>
      </c>
    </row>
    <row r="249" spans="1:22" x14ac:dyDescent="0.45">
      <c r="A249" s="3" t="str">
        <f>IF(ISNUMBER('Список деталей'!A257), 'Список деталей'!A257, "")</f>
        <v/>
      </c>
      <c r="B249" s="30" t="str">
        <f>IF(ISBLANK('Список деталей'!B257),"",'Список деталей'!B257)</f>
        <v/>
      </c>
      <c r="C249" s="3" t="str">
        <f>IF(ISNUMBER('Список деталей'!C257), $W$4,"")</f>
        <v/>
      </c>
      <c r="D249" s="3" t="str">
        <f>IF(ISNUMBER('Список деталей'!C257), 'Список деталей'!$I$4,"")</f>
        <v/>
      </c>
      <c r="E249" s="24" t="str">
        <f>IF(ISNUMBER('Список деталей'!E257), 'Список деталей'!E257, "")</f>
        <v/>
      </c>
      <c r="F249" s="24" t="str">
        <f>IF(ISNUMBER('Список деталей'!C257), 'Список деталей'!C257, "")</f>
        <v/>
      </c>
      <c r="G249" s="24" t="str">
        <f>IF(ISNUMBER('Список деталей'!D257), 'Список деталей'!D257, "")</f>
        <v/>
      </c>
      <c r="H249" s="3" t="str">
        <f t="shared" si="3"/>
        <v xml:space="preserve">    </v>
      </c>
      <c r="I249" s="3" t="str">
        <f>IF(ISBLANK('Список деталей'!F257),"",VLOOKUP('Список деталей'!F257,обозначениКромки,4,0))</f>
        <v/>
      </c>
      <c r="J249" s="25" t="str">
        <f>IF(ISBLANK('Список деталей'!G257),"",VLOOKUP('Список деталей'!G257,обозначениКромки,4,0))</f>
        <v/>
      </c>
      <c r="K249" s="25" t="str">
        <f>IF(ISBLANK('Список деталей'!H257),"",VLOOKUP('Список деталей'!H257,обозначениКромки,4,0))</f>
        <v/>
      </c>
      <c r="L249" s="25" t="str">
        <f>IF(ISBLANK('Список деталей'!I257),"",VLOOKUP('Список деталей'!I257,обозначениКромки,4,0))</f>
        <v/>
      </c>
      <c r="M249" s="24" t="str">
        <f>IF(ISBLANK('Список деталей'!Y257),"",('Список деталей'!Y257))</f>
        <v/>
      </c>
      <c r="N249" s="3" t="str">
        <f>IF(ISBLANK('Список деталей'!Z257),"",('Список деталей'!Z257))</f>
        <v/>
      </c>
      <c r="O249" s="3" t="str">
        <f>IF(ISBLANK('Список деталей'!AA257),"",('Список деталей'!AA257))</f>
        <v/>
      </c>
      <c r="P249" s="3" t="str">
        <f>IF(ISBLANK('Список деталей'!AB257),"",('Список деталей'!AB257))</f>
        <v/>
      </c>
      <c r="Q249" s="45">
        <f>VLOOKUP(IF(ISBLANK('Список деталей'!H257)=TRUE,7,'Список деталей'!H257),кромка,2,0)+VLOOKUP(IF(ISBLANK('Список деталей'!I257)=TRUE,7,'Список деталей'!I257),кромка,2,0)+'Список деталей'!C257</f>
        <v>0</v>
      </c>
      <c r="R249" s="45">
        <f>VLOOKUP(IF(ISBLANK('Список деталей'!F257)=TRUE,7,'Список деталей'!F257),кромка,2,0)+VLOOKUP(IF(ISBLANK('Список деталей'!G257)=TRUE,7,'Список деталей'!G257),кромка,2,0)+'Список деталей'!D257</f>
        <v>0</v>
      </c>
      <c r="S249" s="42">
        <f>IF('Список деталей'!H257="",0,1)+IF('Список деталей'!I257="",0,1)+'Список деталей'!C257</f>
        <v>0</v>
      </c>
      <c r="T249" s="42">
        <f>IF('Список деталей'!F257="",0,1)+IF('Список деталей'!G257="",0,1)+'Список деталей'!D257</f>
        <v>0</v>
      </c>
      <c r="U249" s="3" t="str">
        <f>IF(ISBLANK('Список деталей'!K257),"",'Список деталей'!K257)</f>
        <v/>
      </c>
      <c r="V249" s="3" t="str">
        <f>IF(AND('Список деталей'!C257&gt;849,'Список деталей'!D257&gt;849)=TRUE,1*'Список деталей'!E257,"")</f>
        <v/>
      </c>
    </row>
    <row r="250" spans="1:22" x14ac:dyDescent="0.45">
      <c r="A250" s="3" t="str">
        <f>IF(ISNUMBER('Список деталей'!A258), 'Список деталей'!A258, "")</f>
        <v/>
      </c>
      <c r="B250" s="30" t="str">
        <f>IF(ISBLANK('Список деталей'!B258),"",'Список деталей'!B258)</f>
        <v/>
      </c>
      <c r="C250" s="3" t="str">
        <f>IF(ISNUMBER('Список деталей'!C258), $W$4,"")</f>
        <v/>
      </c>
      <c r="D250" s="3" t="str">
        <f>IF(ISNUMBER('Список деталей'!C258), 'Список деталей'!$I$4,"")</f>
        <v/>
      </c>
      <c r="E250" s="24" t="str">
        <f>IF(ISNUMBER('Список деталей'!E258), 'Список деталей'!E258, "")</f>
        <v/>
      </c>
      <c r="F250" s="24" t="str">
        <f>IF(ISNUMBER('Список деталей'!C258), 'Список деталей'!C258, "")</f>
        <v/>
      </c>
      <c r="G250" s="24" t="str">
        <f>IF(ISNUMBER('Список деталей'!D258), 'Список деталей'!D258, "")</f>
        <v/>
      </c>
      <c r="H250" s="3" t="str">
        <f t="shared" si="3"/>
        <v xml:space="preserve">    </v>
      </c>
      <c r="I250" s="3" t="str">
        <f>IF(ISBLANK('Список деталей'!F258),"",VLOOKUP('Список деталей'!F258,обозначениКромки,4,0))</f>
        <v/>
      </c>
      <c r="J250" s="25" t="str">
        <f>IF(ISBLANK('Список деталей'!G258),"",VLOOKUP('Список деталей'!G258,обозначениКромки,4,0))</f>
        <v/>
      </c>
      <c r="K250" s="25" t="str">
        <f>IF(ISBLANK('Список деталей'!H258),"",VLOOKUP('Список деталей'!H258,обозначениКромки,4,0))</f>
        <v/>
      </c>
      <c r="L250" s="25" t="str">
        <f>IF(ISBLANK('Список деталей'!I258),"",VLOOKUP('Список деталей'!I258,обозначениКромки,4,0))</f>
        <v/>
      </c>
      <c r="M250" s="24" t="str">
        <f>IF(ISBLANK('Список деталей'!Y258),"",('Список деталей'!Y258))</f>
        <v/>
      </c>
      <c r="N250" s="3" t="str">
        <f>IF(ISBLANK('Список деталей'!Z258),"",('Список деталей'!Z258))</f>
        <v/>
      </c>
      <c r="O250" s="3" t="str">
        <f>IF(ISBLANK('Список деталей'!AA258),"",('Список деталей'!AA258))</f>
        <v/>
      </c>
      <c r="P250" s="3" t="str">
        <f>IF(ISBLANK('Список деталей'!AB258),"",('Список деталей'!AB258))</f>
        <v/>
      </c>
      <c r="Q250" s="45">
        <f>VLOOKUP(IF(ISBLANK('Список деталей'!H258)=TRUE,7,'Список деталей'!H258),кромка,2,0)+VLOOKUP(IF(ISBLANK('Список деталей'!I258)=TRUE,7,'Список деталей'!I258),кромка,2,0)+'Список деталей'!C258</f>
        <v>0</v>
      </c>
      <c r="R250" s="45">
        <f>VLOOKUP(IF(ISBLANK('Список деталей'!F258)=TRUE,7,'Список деталей'!F258),кромка,2,0)+VLOOKUP(IF(ISBLANK('Список деталей'!G258)=TRUE,7,'Список деталей'!G258),кромка,2,0)+'Список деталей'!D258</f>
        <v>0</v>
      </c>
      <c r="S250" s="42">
        <f>IF('Список деталей'!H258="",0,1)+IF('Список деталей'!I258="",0,1)+'Список деталей'!C258</f>
        <v>0</v>
      </c>
      <c r="T250" s="42">
        <f>IF('Список деталей'!F258="",0,1)+IF('Список деталей'!G258="",0,1)+'Список деталей'!D258</f>
        <v>0</v>
      </c>
      <c r="U250" s="3" t="str">
        <f>IF(ISBLANK('Список деталей'!K258),"",'Список деталей'!K258)</f>
        <v/>
      </c>
      <c r="V250" s="3" t="str">
        <f>IF(AND('Список деталей'!C258&gt;849,'Список деталей'!D258&gt;849)=TRUE,1*'Список деталей'!E258,"")</f>
        <v/>
      </c>
    </row>
    <row r="251" spans="1:22" x14ac:dyDescent="0.45">
      <c r="A251" s="3" t="str">
        <f>IF(ISNUMBER('Список деталей'!A259), 'Список деталей'!A259, "")</f>
        <v/>
      </c>
      <c r="B251" s="30" t="str">
        <f>IF(ISBLANK('Список деталей'!B259),"",'Список деталей'!B259)</f>
        <v/>
      </c>
      <c r="C251" s="3" t="str">
        <f>IF(ISNUMBER('Список деталей'!C259), $W$4,"")</f>
        <v/>
      </c>
      <c r="D251" s="3" t="str">
        <f>IF(ISNUMBER('Список деталей'!C259), 'Список деталей'!$I$4,"")</f>
        <v/>
      </c>
      <c r="E251" s="24" t="str">
        <f>IF(ISNUMBER('Список деталей'!E259), 'Список деталей'!E259, "")</f>
        <v/>
      </c>
      <c r="F251" s="24" t="str">
        <f>IF(ISNUMBER('Список деталей'!C259), 'Список деталей'!C259, "")</f>
        <v/>
      </c>
      <c r="G251" s="24" t="str">
        <f>IF(ISNUMBER('Список деталей'!D259), 'Список деталей'!D259, "")</f>
        <v/>
      </c>
      <c r="H251" s="3" t="str">
        <f t="shared" si="3"/>
        <v xml:space="preserve">    </v>
      </c>
      <c r="I251" s="3" t="str">
        <f>IF(ISBLANK('Список деталей'!F259),"",VLOOKUP('Список деталей'!F259,обозначениКромки,4,0))</f>
        <v/>
      </c>
      <c r="J251" s="25" t="str">
        <f>IF(ISBLANK('Список деталей'!G259),"",VLOOKUP('Список деталей'!G259,обозначениКромки,4,0))</f>
        <v/>
      </c>
      <c r="K251" s="25" t="str">
        <f>IF(ISBLANK('Список деталей'!H259),"",VLOOKUP('Список деталей'!H259,обозначениКромки,4,0))</f>
        <v/>
      </c>
      <c r="L251" s="25" t="str">
        <f>IF(ISBLANK('Список деталей'!I259),"",VLOOKUP('Список деталей'!I259,обозначениКромки,4,0))</f>
        <v/>
      </c>
      <c r="M251" s="24" t="str">
        <f>IF(ISBLANK('Список деталей'!Y259),"",('Список деталей'!Y259))</f>
        <v/>
      </c>
      <c r="N251" s="3" t="str">
        <f>IF(ISBLANK('Список деталей'!Z259),"",('Список деталей'!Z259))</f>
        <v/>
      </c>
      <c r="O251" s="3" t="str">
        <f>IF(ISBLANK('Список деталей'!AA259),"",('Список деталей'!AA259))</f>
        <v/>
      </c>
      <c r="P251" s="3" t="str">
        <f>IF(ISBLANK('Список деталей'!AB259),"",('Список деталей'!AB259))</f>
        <v/>
      </c>
      <c r="Q251" s="45">
        <f>VLOOKUP(IF(ISBLANK('Список деталей'!H259)=TRUE,7,'Список деталей'!H259),кромка,2,0)+VLOOKUP(IF(ISBLANK('Список деталей'!I259)=TRUE,7,'Список деталей'!I259),кромка,2,0)+'Список деталей'!C259</f>
        <v>0</v>
      </c>
      <c r="R251" s="45">
        <f>VLOOKUP(IF(ISBLANK('Список деталей'!F259)=TRUE,7,'Список деталей'!F259),кромка,2,0)+VLOOKUP(IF(ISBLANK('Список деталей'!G259)=TRUE,7,'Список деталей'!G259),кромка,2,0)+'Список деталей'!D259</f>
        <v>0</v>
      </c>
      <c r="S251" s="42">
        <f>IF('Список деталей'!H259="",0,1)+IF('Список деталей'!I259="",0,1)+'Список деталей'!C259</f>
        <v>0</v>
      </c>
      <c r="T251" s="42">
        <f>IF('Список деталей'!F259="",0,1)+IF('Список деталей'!G259="",0,1)+'Список деталей'!D259</f>
        <v>0</v>
      </c>
      <c r="U251" s="3" t="str">
        <f>IF(ISBLANK('Список деталей'!K259),"",'Список деталей'!K259)</f>
        <v/>
      </c>
      <c r="V251" s="3" t="str">
        <f>IF(AND('Список деталей'!C259&gt;849,'Список деталей'!D259&gt;849)=TRUE,1*'Список деталей'!E259,"")</f>
        <v/>
      </c>
    </row>
    <row r="252" spans="1:22" x14ac:dyDescent="0.45">
      <c r="A252" s="3" t="str">
        <f>IF(ISNUMBER('Список деталей'!A260), 'Список деталей'!A260, "")</f>
        <v/>
      </c>
      <c r="B252" s="30" t="str">
        <f>IF(ISBLANK('Список деталей'!B260),"",'Список деталей'!B260)</f>
        <v/>
      </c>
      <c r="C252" s="3" t="str">
        <f>IF(ISNUMBER('Список деталей'!C260), $W$4,"")</f>
        <v/>
      </c>
      <c r="D252" s="3" t="str">
        <f>IF(ISNUMBER('Список деталей'!C260), 'Список деталей'!$I$4,"")</f>
        <v/>
      </c>
      <c r="E252" s="24" t="str">
        <f>IF(ISNUMBER('Список деталей'!E260), 'Список деталей'!E260, "")</f>
        <v/>
      </c>
      <c r="F252" s="24" t="str">
        <f>IF(ISNUMBER('Список деталей'!C260), 'Список деталей'!C260, "")</f>
        <v/>
      </c>
      <c r="G252" s="24" t="str">
        <f>IF(ISNUMBER('Список деталей'!D260), 'Список деталей'!D260, "")</f>
        <v/>
      </c>
      <c r="H252" s="3" t="str">
        <f t="shared" si="3"/>
        <v xml:space="preserve">    </v>
      </c>
      <c r="I252" s="3" t="str">
        <f>IF(ISBLANK('Список деталей'!F260),"",VLOOKUP('Список деталей'!F260,обозначениКромки,4,0))</f>
        <v/>
      </c>
      <c r="J252" s="25" t="str">
        <f>IF(ISBLANK('Список деталей'!G260),"",VLOOKUP('Список деталей'!G260,обозначениКромки,4,0))</f>
        <v/>
      </c>
      <c r="K252" s="25" t="str">
        <f>IF(ISBLANK('Список деталей'!H260),"",VLOOKUP('Список деталей'!H260,обозначениКромки,4,0))</f>
        <v/>
      </c>
      <c r="L252" s="25" t="str">
        <f>IF(ISBLANK('Список деталей'!I260),"",VLOOKUP('Список деталей'!I260,обозначениКромки,4,0))</f>
        <v/>
      </c>
      <c r="M252" s="24" t="str">
        <f>IF(ISBLANK('Список деталей'!Y260),"",('Список деталей'!Y260))</f>
        <v/>
      </c>
      <c r="N252" s="3" t="str">
        <f>IF(ISBLANK('Список деталей'!Z260),"",('Список деталей'!Z260))</f>
        <v/>
      </c>
      <c r="O252" s="3" t="str">
        <f>IF(ISBLANK('Список деталей'!AA260),"",('Список деталей'!AA260))</f>
        <v/>
      </c>
      <c r="P252" s="3" t="str">
        <f>IF(ISBLANK('Список деталей'!AB260),"",('Список деталей'!AB260))</f>
        <v/>
      </c>
      <c r="Q252" s="45">
        <f>VLOOKUP(IF(ISBLANK('Список деталей'!H260)=TRUE,7,'Список деталей'!H260),кромка,2,0)+VLOOKUP(IF(ISBLANK('Список деталей'!I260)=TRUE,7,'Список деталей'!I260),кромка,2,0)+'Список деталей'!C260</f>
        <v>0</v>
      </c>
      <c r="R252" s="45">
        <f>VLOOKUP(IF(ISBLANK('Список деталей'!F260)=TRUE,7,'Список деталей'!F260),кромка,2,0)+VLOOKUP(IF(ISBLANK('Список деталей'!G260)=TRUE,7,'Список деталей'!G260),кромка,2,0)+'Список деталей'!D260</f>
        <v>0</v>
      </c>
      <c r="S252" s="42">
        <f>IF('Список деталей'!H260="",0,1)+IF('Список деталей'!I260="",0,1)+'Список деталей'!C260</f>
        <v>0</v>
      </c>
      <c r="T252" s="42">
        <f>IF('Список деталей'!F260="",0,1)+IF('Список деталей'!G260="",0,1)+'Список деталей'!D260</f>
        <v>0</v>
      </c>
      <c r="U252" s="3" t="str">
        <f>IF(ISBLANK('Список деталей'!K260),"",'Список деталей'!K260)</f>
        <v/>
      </c>
      <c r="V252" s="3" t="str">
        <f>IF(AND('Список деталей'!C260&gt;849,'Список деталей'!D260&gt;849)=TRUE,1*'Список деталей'!E260,"")</f>
        <v/>
      </c>
    </row>
    <row r="253" spans="1:22" x14ac:dyDescent="0.45">
      <c r="A253" s="3" t="str">
        <f>IF(ISNUMBER('Список деталей'!A261), 'Список деталей'!A261, "")</f>
        <v/>
      </c>
      <c r="B253" s="30" t="str">
        <f>IF(ISBLANK('Список деталей'!B261),"",'Список деталей'!B261)</f>
        <v/>
      </c>
      <c r="C253" s="3" t="str">
        <f>IF(ISNUMBER('Список деталей'!C261), $W$4,"")</f>
        <v/>
      </c>
      <c r="D253" s="3" t="str">
        <f>IF(ISNUMBER('Список деталей'!C261), 'Список деталей'!$I$4,"")</f>
        <v/>
      </c>
      <c r="E253" s="24" t="str">
        <f>IF(ISNUMBER('Список деталей'!E261), 'Список деталей'!E261, "")</f>
        <v/>
      </c>
      <c r="F253" s="24" t="str">
        <f>IF(ISNUMBER('Список деталей'!C261), 'Список деталей'!C261, "")</f>
        <v/>
      </c>
      <c r="G253" s="24" t="str">
        <f>IF(ISNUMBER('Список деталей'!D261), 'Список деталей'!D261, "")</f>
        <v/>
      </c>
      <c r="H253" s="3" t="str">
        <f t="shared" si="3"/>
        <v xml:space="preserve">    </v>
      </c>
      <c r="I253" s="3" t="str">
        <f>IF(ISBLANK('Список деталей'!F261),"",VLOOKUP('Список деталей'!F261,обозначениКромки,4,0))</f>
        <v/>
      </c>
      <c r="J253" s="25" t="str">
        <f>IF(ISBLANK('Список деталей'!G261),"",VLOOKUP('Список деталей'!G261,обозначениКромки,4,0))</f>
        <v/>
      </c>
      <c r="K253" s="25" t="str">
        <f>IF(ISBLANK('Список деталей'!H261),"",VLOOKUP('Список деталей'!H261,обозначениКромки,4,0))</f>
        <v/>
      </c>
      <c r="L253" s="25" t="str">
        <f>IF(ISBLANK('Список деталей'!I261),"",VLOOKUP('Список деталей'!I261,обозначениКромки,4,0))</f>
        <v/>
      </c>
      <c r="M253" s="24" t="str">
        <f>IF(ISBLANK('Список деталей'!Y261),"",('Список деталей'!Y261))</f>
        <v/>
      </c>
      <c r="N253" s="3" t="str">
        <f>IF(ISBLANK('Список деталей'!Z261),"",('Список деталей'!Z261))</f>
        <v/>
      </c>
      <c r="O253" s="3" t="str">
        <f>IF(ISBLANK('Список деталей'!AA261),"",('Список деталей'!AA261))</f>
        <v/>
      </c>
      <c r="P253" s="3" t="str">
        <f>IF(ISBLANK('Список деталей'!AB261),"",('Список деталей'!AB261))</f>
        <v/>
      </c>
      <c r="Q253" s="45">
        <f>VLOOKUP(IF(ISBLANK('Список деталей'!H261)=TRUE,7,'Список деталей'!H261),кромка,2,0)+VLOOKUP(IF(ISBLANK('Список деталей'!I261)=TRUE,7,'Список деталей'!I261),кромка,2,0)+'Список деталей'!C261</f>
        <v>0</v>
      </c>
      <c r="R253" s="45">
        <f>VLOOKUP(IF(ISBLANK('Список деталей'!F261)=TRUE,7,'Список деталей'!F261),кромка,2,0)+VLOOKUP(IF(ISBLANK('Список деталей'!G261)=TRUE,7,'Список деталей'!G261),кромка,2,0)+'Список деталей'!D261</f>
        <v>0</v>
      </c>
      <c r="S253" s="42">
        <f>IF('Список деталей'!H261="",0,1)+IF('Список деталей'!I261="",0,1)+'Список деталей'!C261</f>
        <v>0</v>
      </c>
      <c r="T253" s="42">
        <f>IF('Список деталей'!F261="",0,1)+IF('Список деталей'!G261="",0,1)+'Список деталей'!D261</f>
        <v>0</v>
      </c>
      <c r="U253" s="3" t="str">
        <f>IF(ISBLANK('Список деталей'!K261),"",'Список деталей'!K261)</f>
        <v/>
      </c>
      <c r="V253" s="3" t="str">
        <f>IF(AND('Список деталей'!C261&gt;849,'Список деталей'!D261&gt;849)=TRUE,1*'Список деталей'!E261,"")</f>
        <v/>
      </c>
    </row>
    <row r="254" spans="1:22" x14ac:dyDescent="0.45">
      <c r="A254" s="3" t="str">
        <f>IF(ISNUMBER('Список деталей'!A262), 'Список деталей'!A262, "")</f>
        <v/>
      </c>
      <c r="B254" s="30" t="str">
        <f>IF(ISBLANK('Список деталей'!B262),"",'Список деталей'!B262)</f>
        <v/>
      </c>
      <c r="C254" s="3" t="str">
        <f>IF(ISNUMBER('Список деталей'!C262), $W$4,"")</f>
        <v/>
      </c>
      <c r="D254" s="3" t="str">
        <f>IF(ISNUMBER('Список деталей'!C262), 'Список деталей'!$I$4,"")</f>
        <v/>
      </c>
      <c r="E254" s="24" t="str">
        <f>IF(ISNUMBER('Список деталей'!E262), 'Список деталей'!E262, "")</f>
        <v/>
      </c>
      <c r="F254" s="24" t="str">
        <f>IF(ISNUMBER('Список деталей'!C262), 'Список деталей'!C262, "")</f>
        <v/>
      </c>
      <c r="G254" s="24" t="str">
        <f>IF(ISNUMBER('Список деталей'!D262), 'Список деталей'!D262, "")</f>
        <v/>
      </c>
      <c r="H254" s="3" t="str">
        <f t="shared" si="3"/>
        <v xml:space="preserve">    </v>
      </c>
      <c r="I254" s="3" t="str">
        <f>IF(ISBLANK('Список деталей'!F262),"",VLOOKUP('Список деталей'!F262,обозначениКромки,4,0))</f>
        <v/>
      </c>
      <c r="J254" s="25" t="str">
        <f>IF(ISBLANK('Список деталей'!G262),"",VLOOKUP('Список деталей'!G262,обозначениКромки,4,0))</f>
        <v/>
      </c>
      <c r="K254" s="25" t="str">
        <f>IF(ISBLANK('Список деталей'!H262),"",VLOOKUP('Список деталей'!H262,обозначениКромки,4,0))</f>
        <v/>
      </c>
      <c r="L254" s="25" t="str">
        <f>IF(ISBLANK('Список деталей'!I262),"",VLOOKUP('Список деталей'!I262,обозначениКромки,4,0))</f>
        <v/>
      </c>
      <c r="M254" s="24" t="str">
        <f>IF(ISBLANK('Список деталей'!Y262),"",('Список деталей'!Y262))</f>
        <v/>
      </c>
      <c r="N254" s="3" t="str">
        <f>IF(ISBLANK('Список деталей'!Z262),"",('Список деталей'!Z262))</f>
        <v/>
      </c>
      <c r="O254" s="3" t="str">
        <f>IF(ISBLANK('Список деталей'!AA262),"",('Список деталей'!AA262))</f>
        <v/>
      </c>
      <c r="P254" s="3" t="str">
        <f>IF(ISBLANK('Список деталей'!AB262),"",('Список деталей'!AB262))</f>
        <v/>
      </c>
      <c r="Q254" s="45">
        <f>VLOOKUP(IF(ISBLANK('Список деталей'!H262)=TRUE,7,'Список деталей'!H262),кромка,2,0)+VLOOKUP(IF(ISBLANK('Список деталей'!I262)=TRUE,7,'Список деталей'!I262),кромка,2,0)+'Список деталей'!C262</f>
        <v>0</v>
      </c>
      <c r="R254" s="45">
        <f>VLOOKUP(IF(ISBLANK('Список деталей'!F262)=TRUE,7,'Список деталей'!F262),кромка,2,0)+VLOOKUP(IF(ISBLANK('Список деталей'!G262)=TRUE,7,'Список деталей'!G262),кромка,2,0)+'Список деталей'!D262</f>
        <v>0</v>
      </c>
      <c r="S254" s="42">
        <f>IF('Список деталей'!H262="",0,1)+IF('Список деталей'!I262="",0,1)+'Список деталей'!C262</f>
        <v>0</v>
      </c>
      <c r="T254" s="42">
        <f>IF('Список деталей'!F262="",0,1)+IF('Список деталей'!G262="",0,1)+'Список деталей'!D262</f>
        <v>0</v>
      </c>
      <c r="U254" s="3" t="str">
        <f>IF(ISBLANK('Список деталей'!K262),"",'Список деталей'!K262)</f>
        <v/>
      </c>
      <c r="V254" s="3" t="str">
        <f>IF(AND('Список деталей'!C262&gt;849,'Список деталей'!D262&gt;849)=TRUE,1*'Список деталей'!E262,"")</f>
        <v/>
      </c>
    </row>
    <row r="255" spans="1:22" x14ac:dyDescent="0.45">
      <c r="A255" s="3" t="str">
        <f>IF(ISNUMBER('Список деталей'!A263), 'Список деталей'!A263, "")</f>
        <v/>
      </c>
      <c r="B255" s="30" t="str">
        <f>IF(ISBLANK('Список деталей'!B263),"",'Список деталей'!B263)</f>
        <v/>
      </c>
      <c r="C255" s="3" t="str">
        <f>IF(ISNUMBER('Список деталей'!C263), $W$4,"")</f>
        <v/>
      </c>
      <c r="D255" s="3" t="str">
        <f>IF(ISNUMBER('Список деталей'!C263), 'Список деталей'!$I$4,"")</f>
        <v/>
      </c>
      <c r="E255" s="24" t="str">
        <f>IF(ISNUMBER('Список деталей'!E263), 'Список деталей'!E263, "")</f>
        <v/>
      </c>
      <c r="F255" s="24" t="str">
        <f>IF(ISNUMBER('Список деталей'!C263), 'Список деталей'!C263, "")</f>
        <v/>
      </c>
      <c r="G255" s="24" t="str">
        <f>IF(ISNUMBER('Список деталей'!D263), 'Список деталей'!D263, "")</f>
        <v/>
      </c>
      <c r="H255" s="3" t="str">
        <f t="shared" si="3"/>
        <v xml:space="preserve">    </v>
      </c>
      <c r="I255" s="3" t="str">
        <f>IF(ISBLANK('Список деталей'!F263),"",VLOOKUP('Список деталей'!F263,обозначениКромки,4,0))</f>
        <v/>
      </c>
      <c r="J255" s="25" t="str">
        <f>IF(ISBLANK('Список деталей'!G263),"",VLOOKUP('Список деталей'!G263,обозначениКромки,4,0))</f>
        <v/>
      </c>
      <c r="K255" s="25" t="str">
        <f>IF(ISBLANK('Список деталей'!H263),"",VLOOKUP('Список деталей'!H263,обозначениКромки,4,0))</f>
        <v/>
      </c>
      <c r="L255" s="25" t="str">
        <f>IF(ISBLANK('Список деталей'!I263),"",VLOOKUP('Список деталей'!I263,обозначениКромки,4,0))</f>
        <v/>
      </c>
      <c r="M255" s="24" t="str">
        <f>IF(ISBLANK('Список деталей'!Y263),"",('Список деталей'!Y263))</f>
        <v/>
      </c>
      <c r="N255" s="3" t="str">
        <f>IF(ISBLANK('Список деталей'!Z263),"",('Список деталей'!Z263))</f>
        <v/>
      </c>
      <c r="O255" s="3" t="str">
        <f>IF(ISBLANK('Список деталей'!AA263),"",('Список деталей'!AA263))</f>
        <v/>
      </c>
      <c r="P255" s="3" t="str">
        <f>IF(ISBLANK('Список деталей'!AB263),"",('Список деталей'!AB263))</f>
        <v/>
      </c>
      <c r="Q255" s="45">
        <f>VLOOKUP(IF(ISBLANK('Список деталей'!H263)=TRUE,7,'Список деталей'!H263),кромка,2,0)+VLOOKUP(IF(ISBLANK('Список деталей'!I263)=TRUE,7,'Список деталей'!I263),кромка,2,0)+'Список деталей'!C263</f>
        <v>0</v>
      </c>
      <c r="R255" s="45">
        <f>VLOOKUP(IF(ISBLANK('Список деталей'!F263)=TRUE,7,'Список деталей'!F263),кромка,2,0)+VLOOKUP(IF(ISBLANK('Список деталей'!G263)=TRUE,7,'Список деталей'!G263),кромка,2,0)+'Список деталей'!D263</f>
        <v>0</v>
      </c>
      <c r="S255" s="42">
        <f>IF('Список деталей'!H263="",0,1)+IF('Список деталей'!I263="",0,1)+'Список деталей'!C263</f>
        <v>0</v>
      </c>
      <c r="T255" s="42">
        <f>IF('Список деталей'!F263="",0,1)+IF('Список деталей'!G263="",0,1)+'Список деталей'!D263</f>
        <v>0</v>
      </c>
      <c r="U255" s="3" t="str">
        <f>IF(ISBLANK('Список деталей'!K263),"",'Список деталей'!K263)</f>
        <v/>
      </c>
      <c r="V255" s="3" t="str">
        <f>IF(AND('Список деталей'!C263&gt;849,'Список деталей'!D263&gt;849)=TRUE,1*'Список деталей'!E263,"")</f>
        <v/>
      </c>
    </row>
    <row r="256" spans="1:22" x14ac:dyDescent="0.45">
      <c r="A256" s="3" t="str">
        <f>IF(ISNUMBER('Список деталей'!A264), 'Список деталей'!A264, "")</f>
        <v/>
      </c>
      <c r="B256" s="30" t="str">
        <f>IF(ISBLANK('Список деталей'!B264),"",'Список деталей'!B264)</f>
        <v/>
      </c>
      <c r="C256" s="3" t="str">
        <f>IF(ISNUMBER('Список деталей'!C264), $W$4,"")</f>
        <v/>
      </c>
      <c r="D256" s="3" t="str">
        <f>IF(ISNUMBER('Список деталей'!C264), 'Список деталей'!$I$4,"")</f>
        <v/>
      </c>
      <c r="E256" s="24" t="str">
        <f>IF(ISNUMBER('Список деталей'!E264), 'Список деталей'!E264, "")</f>
        <v/>
      </c>
      <c r="F256" s="24" t="str">
        <f>IF(ISNUMBER('Список деталей'!C264), 'Список деталей'!C264, "")</f>
        <v/>
      </c>
      <c r="G256" s="24" t="str">
        <f>IF(ISNUMBER('Список деталей'!D264), 'Список деталей'!D264, "")</f>
        <v/>
      </c>
      <c r="H256" s="3" t="str">
        <f t="shared" si="3"/>
        <v xml:space="preserve">    </v>
      </c>
      <c r="I256" s="3" t="str">
        <f>IF(ISBLANK('Список деталей'!F264),"",VLOOKUP('Список деталей'!F264,обозначениКромки,4,0))</f>
        <v/>
      </c>
      <c r="J256" s="25" t="str">
        <f>IF(ISBLANK('Список деталей'!G264),"",VLOOKUP('Список деталей'!G264,обозначениКромки,4,0))</f>
        <v/>
      </c>
      <c r="K256" s="25" t="str">
        <f>IF(ISBLANK('Список деталей'!H264),"",VLOOKUP('Список деталей'!H264,обозначениКромки,4,0))</f>
        <v/>
      </c>
      <c r="L256" s="25" t="str">
        <f>IF(ISBLANK('Список деталей'!I264),"",VLOOKUP('Список деталей'!I264,обозначениКромки,4,0))</f>
        <v/>
      </c>
      <c r="M256" s="24" t="str">
        <f>IF(ISBLANK('Список деталей'!Y264),"",('Список деталей'!Y264))</f>
        <v/>
      </c>
      <c r="N256" s="3" t="str">
        <f>IF(ISBLANK('Список деталей'!Z264),"",('Список деталей'!Z264))</f>
        <v/>
      </c>
      <c r="O256" s="3" t="str">
        <f>IF(ISBLANK('Список деталей'!AA264),"",('Список деталей'!AA264))</f>
        <v/>
      </c>
      <c r="P256" s="3" t="str">
        <f>IF(ISBLANK('Список деталей'!AB264),"",('Список деталей'!AB264))</f>
        <v/>
      </c>
      <c r="Q256" s="45">
        <f>VLOOKUP(IF(ISBLANK('Список деталей'!H264)=TRUE,7,'Список деталей'!H264),кромка,2,0)+VLOOKUP(IF(ISBLANK('Список деталей'!I264)=TRUE,7,'Список деталей'!I264),кромка,2,0)+'Список деталей'!C264</f>
        <v>0</v>
      </c>
      <c r="R256" s="45">
        <f>VLOOKUP(IF(ISBLANK('Список деталей'!F264)=TRUE,7,'Список деталей'!F264),кромка,2,0)+VLOOKUP(IF(ISBLANK('Список деталей'!G264)=TRUE,7,'Список деталей'!G264),кромка,2,0)+'Список деталей'!D264</f>
        <v>0</v>
      </c>
      <c r="S256" s="42">
        <f>IF('Список деталей'!H264="",0,1)+IF('Список деталей'!I264="",0,1)+'Список деталей'!C264</f>
        <v>0</v>
      </c>
      <c r="T256" s="42">
        <f>IF('Список деталей'!F264="",0,1)+IF('Список деталей'!G264="",0,1)+'Список деталей'!D264</f>
        <v>0</v>
      </c>
      <c r="U256" s="3" t="str">
        <f>IF(ISBLANK('Список деталей'!K264),"",'Список деталей'!K264)</f>
        <v/>
      </c>
      <c r="V256" s="3" t="str">
        <f>IF(AND('Список деталей'!C264&gt;849,'Список деталей'!D264&gt;849)=TRUE,1*'Список деталей'!E264,"")</f>
        <v/>
      </c>
    </row>
    <row r="257" spans="1:22" x14ac:dyDescent="0.45">
      <c r="A257" s="3" t="str">
        <f>IF(ISNUMBER('Список деталей'!A265), 'Список деталей'!A265, "")</f>
        <v/>
      </c>
      <c r="B257" s="30" t="str">
        <f>IF(ISBLANK('Список деталей'!B265),"",'Список деталей'!B265)</f>
        <v/>
      </c>
      <c r="C257" s="3" t="str">
        <f>IF(ISNUMBER('Список деталей'!C265), $W$4,"")</f>
        <v/>
      </c>
      <c r="D257" s="3" t="str">
        <f>IF(ISNUMBER('Список деталей'!C265), 'Список деталей'!$I$4,"")</f>
        <v/>
      </c>
      <c r="E257" s="24" t="str">
        <f>IF(ISNUMBER('Список деталей'!E265), 'Список деталей'!E265, "")</f>
        <v/>
      </c>
      <c r="F257" s="24" t="str">
        <f>IF(ISNUMBER('Список деталей'!C265), 'Список деталей'!C265, "")</f>
        <v/>
      </c>
      <c r="G257" s="24" t="str">
        <f>IF(ISNUMBER('Список деталей'!D265), 'Список деталей'!D265, "")</f>
        <v/>
      </c>
      <c r="H257" s="3" t="str">
        <f t="shared" si="3"/>
        <v xml:space="preserve">    </v>
      </c>
      <c r="I257" s="3" t="str">
        <f>IF(ISBLANK('Список деталей'!F265),"",VLOOKUP('Список деталей'!F265,обозначениКромки,4,0))</f>
        <v/>
      </c>
      <c r="J257" s="25" t="str">
        <f>IF(ISBLANK('Список деталей'!G265),"",VLOOKUP('Список деталей'!G265,обозначениКромки,4,0))</f>
        <v/>
      </c>
      <c r="K257" s="25" t="str">
        <f>IF(ISBLANK('Список деталей'!H265),"",VLOOKUP('Список деталей'!H265,обозначениКромки,4,0))</f>
        <v/>
      </c>
      <c r="L257" s="25" t="str">
        <f>IF(ISBLANK('Список деталей'!I265),"",VLOOKUP('Список деталей'!I265,обозначениКромки,4,0))</f>
        <v/>
      </c>
      <c r="M257" s="24" t="str">
        <f>IF(ISBLANK('Список деталей'!Y265),"",('Список деталей'!Y265))</f>
        <v/>
      </c>
      <c r="N257" s="3" t="str">
        <f>IF(ISBLANK('Список деталей'!Z265),"",('Список деталей'!Z265))</f>
        <v/>
      </c>
      <c r="O257" s="3" t="str">
        <f>IF(ISBLANK('Список деталей'!AA265),"",('Список деталей'!AA265))</f>
        <v/>
      </c>
      <c r="P257" s="3" t="str">
        <f>IF(ISBLANK('Список деталей'!AB265),"",('Список деталей'!AB265))</f>
        <v/>
      </c>
      <c r="Q257" s="45">
        <f>VLOOKUP(IF(ISBLANK('Список деталей'!H265)=TRUE,7,'Список деталей'!H265),кромка,2,0)+VLOOKUP(IF(ISBLANK('Список деталей'!I265)=TRUE,7,'Список деталей'!I265),кромка,2,0)+'Список деталей'!C265</f>
        <v>0</v>
      </c>
      <c r="R257" s="45">
        <f>VLOOKUP(IF(ISBLANK('Список деталей'!F265)=TRUE,7,'Список деталей'!F265),кромка,2,0)+VLOOKUP(IF(ISBLANK('Список деталей'!G265)=TRUE,7,'Список деталей'!G265),кромка,2,0)+'Список деталей'!D265</f>
        <v>0</v>
      </c>
      <c r="S257" s="42">
        <f>IF('Список деталей'!H265="",0,1)+IF('Список деталей'!I265="",0,1)+'Список деталей'!C265</f>
        <v>0</v>
      </c>
      <c r="T257" s="42">
        <f>IF('Список деталей'!F265="",0,1)+IF('Список деталей'!G265="",0,1)+'Список деталей'!D265</f>
        <v>0</v>
      </c>
      <c r="U257" s="3" t="str">
        <f>IF(ISBLANK('Список деталей'!K265),"",'Список деталей'!K265)</f>
        <v/>
      </c>
      <c r="V257" s="3" t="str">
        <f>IF(AND('Список деталей'!C265&gt;849,'Список деталей'!D265&gt;849)=TRUE,1*'Список деталей'!E265,"")</f>
        <v/>
      </c>
    </row>
    <row r="258" spans="1:22" x14ac:dyDescent="0.45">
      <c r="A258" s="3" t="str">
        <f>IF(ISNUMBER('Список деталей'!A266), 'Список деталей'!A266, "")</f>
        <v/>
      </c>
      <c r="B258" s="30" t="str">
        <f>IF(ISBLANK('Список деталей'!B266),"",'Список деталей'!B266)</f>
        <v/>
      </c>
      <c r="C258" s="3" t="str">
        <f>IF(ISNUMBER('Список деталей'!C266), $W$4,"")</f>
        <v/>
      </c>
      <c r="D258" s="3" t="str">
        <f>IF(ISNUMBER('Список деталей'!C266), 'Список деталей'!$I$4,"")</f>
        <v/>
      </c>
      <c r="E258" s="24" t="str">
        <f>IF(ISNUMBER('Список деталей'!E266), 'Список деталей'!E266, "")</f>
        <v/>
      </c>
      <c r="F258" s="24" t="str">
        <f>IF(ISNUMBER('Список деталей'!C266), 'Список деталей'!C266, "")</f>
        <v/>
      </c>
      <c r="G258" s="24" t="str">
        <f>IF(ISNUMBER('Список деталей'!D266), 'Список деталей'!D266, "")</f>
        <v/>
      </c>
      <c r="H258" s="3" t="str">
        <f t="shared" ref="H258:H300" si="4">U258&amp;" "&amp;M258&amp;" "&amp;N258&amp;" "&amp;O258&amp;" "&amp;P258</f>
        <v xml:space="preserve">    </v>
      </c>
      <c r="I258" s="3" t="str">
        <f>IF(ISBLANK('Список деталей'!F266),"",VLOOKUP('Список деталей'!F266,обозначениКромки,4,0))</f>
        <v/>
      </c>
      <c r="J258" s="25" t="str">
        <f>IF(ISBLANK('Список деталей'!G266),"",VLOOKUP('Список деталей'!G266,обозначениКромки,4,0))</f>
        <v/>
      </c>
      <c r="K258" s="25" t="str">
        <f>IF(ISBLANK('Список деталей'!H266),"",VLOOKUP('Список деталей'!H266,обозначениКромки,4,0))</f>
        <v/>
      </c>
      <c r="L258" s="25" t="str">
        <f>IF(ISBLANK('Список деталей'!I266),"",VLOOKUP('Список деталей'!I266,обозначениКромки,4,0))</f>
        <v/>
      </c>
      <c r="M258" s="24" t="str">
        <f>IF(ISBLANK('Список деталей'!Y266),"",('Список деталей'!Y266))</f>
        <v/>
      </c>
      <c r="N258" s="3" t="str">
        <f>IF(ISBLANK('Список деталей'!Z266),"",('Список деталей'!Z266))</f>
        <v/>
      </c>
      <c r="O258" s="3" t="str">
        <f>IF(ISBLANK('Список деталей'!AA266),"",('Список деталей'!AA266))</f>
        <v/>
      </c>
      <c r="P258" s="3" t="str">
        <f>IF(ISBLANK('Список деталей'!AB266),"",('Список деталей'!AB266))</f>
        <v/>
      </c>
      <c r="Q258" s="45">
        <f>VLOOKUP(IF(ISBLANK('Список деталей'!H266)=TRUE,7,'Список деталей'!H266),кромка,2,0)+VLOOKUP(IF(ISBLANK('Список деталей'!I266)=TRUE,7,'Список деталей'!I266),кромка,2,0)+'Список деталей'!C266</f>
        <v>0</v>
      </c>
      <c r="R258" s="45">
        <f>VLOOKUP(IF(ISBLANK('Список деталей'!F266)=TRUE,7,'Список деталей'!F266),кромка,2,0)+VLOOKUP(IF(ISBLANK('Список деталей'!G266)=TRUE,7,'Список деталей'!G266),кромка,2,0)+'Список деталей'!D266</f>
        <v>0</v>
      </c>
      <c r="S258" s="42">
        <f>IF('Список деталей'!H266="",0,1)+IF('Список деталей'!I266="",0,1)+'Список деталей'!C266</f>
        <v>0</v>
      </c>
      <c r="T258" s="42">
        <f>IF('Список деталей'!F266="",0,1)+IF('Список деталей'!G266="",0,1)+'Список деталей'!D266</f>
        <v>0</v>
      </c>
      <c r="U258" s="3" t="str">
        <f>IF(ISBLANK('Список деталей'!K266),"",'Список деталей'!K266)</f>
        <v/>
      </c>
      <c r="V258" s="3" t="str">
        <f>IF(AND('Список деталей'!C266&gt;849,'Список деталей'!D266&gt;849)=TRUE,1*'Список деталей'!E266,"")</f>
        <v/>
      </c>
    </row>
    <row r="259" spans="1:22" x14ac:dyDescent="0.45">
      <c r="A259" s="3" t="str">
        <f>IF(ISNUMBER('Список деталей'!A267), 'Список деталей'!A267, "")</f>
        <v/>
      </c>
      <c r="B259" s="30" t="str">
        <f>IF(ISBLANK('Список деталей'!B267),"",'Список деталей'!B267)</f>
        <v/>
      </c>
      <c r="C259" s="3" t="str">
        <f>IF(ISNUMBER('Список деталей'!C267), $W$4,"")</f>
        <v/>
      </c>
      <c r="D259" s="3" t="str">
        <f>IF(ISNUMBER('Список деталей'!C267), 'Список деталей'!$I$4,"")</f>
        <v/>
      </c>
      <c r="E259" s="24" t="str">
        <f>IF(ISNUMBER('Список деталей'!E267), 'Список деталей'!E267, "")</f>
        <v/>
      </c>
      <c r="F259" s="24" t="str">
        <f>IF(ISNUMBER('Список деталей'!C267), 'Список деталей'!C267, "")</f>
        <v/>
      </c>
      <c r="G259" s="24" t="str">
        <f>IF(ISNUMBER('Список деталей'!D267), 'Список деталей'!D267, "")</f>
        <v/>
      </c>
      <c r="H259" s="3" t="str">
        <f t="shared" si="4"/>
        <v xml:space="preserve">    </v>
      </c>
      <c r="I259" s="3" t="str">
        <f>IF(ISBLANK('Список деталей'!F267),"",VLOOKUP('Список деталей'!F267,обозначениКромки,4,0))</f>
        <v/>
      </c>
      <c r="J259" s="25" t="str">
        <f>IF(ISBLANK('Список деталей'!G267),"",VLOOKUP('Список деталей'!G267,обозначениКромки,4,0))</f>
        <v/>
      </c>
      <c r="K259" s="25" t="str">
        <f>IF(ISBLANK('Список деталей'!H267),"",VLOOKUP('Список деталей'!H267,обозначениКромки,4,0))</f>
        <v/>
      </c>
      <c r="L259" s="25" t="str">
        <f>IF(ISBLANK('Список деталей'!I267),"",VLOOKUP('Список деталей'!I267,обозначениКромки,4,0))</f>
        <v/>
      </c>
      <c r="M259" s="24" t="str">
        <f>IF(ISBLANK('Список деталей'!Y267),"",('Список деталей'!Y267))</f>
        <v/>
      </c>
      <c r="N259" s="3" t="str">
        <f>IF(ISBLANK('Список деталей'!Z267),"",('Список деталей'!Z267))</f>
        <v/>
      </c>
      <c r="O259" s="3" t="str">
        <f>IF(ISBLANK('Список деталей'!AA267),"",('Список деталей'!AA267))</f>
        <v/>
      </c>
      <c r="P259" s="3" t="str">
        <f>IF(ISBLANK('Список деталей'!AB267),"",('Список деталей'!AB267))</f>
        <v/>
      </c>
      <c r="Q259" s="45">
        <f>VLOOKUP(IF(ISBLANK('Список деталей'!H267)=TRUE,7,'Список деталей'!H267),кромка,2,0)+VLOOKUP(IF(ISBLANK('Список деталей'!I267)=TRUE,7,'Список деталей'!I267),кромка,2,0)+'Список деталей'!C267</f>
        <v>0</v>
      </c>
      <c r="R259" s="45">
        <f>VLOOKUP(IF(ISBLANK('Список деталей'!F267)=TRUE,7,'Список деталей'!F267),кромка,2,0)+VLOOKUP(IF(ISBLANK('Список деталей'!G267)=TRUE,7,'Список деталей'!G267),кромка,2,0)+'Список деталей'!D267</f>
        <v>0</v>
      </c>
      <c r="S259" s="42">
        <f>IF('Список деталей'!H267="",0,1)+IF('Список деталей'!I267="",0,1)+'Список деталей'!C267</f>
        <v>0</v>
      </c>
      <c r="T259" s="42">
        <f>IF('Список деталей'!F267="",0,1)+IF('Список деталей'!G267="",0,1)+'Список деталей'!D267</f>
        <v>0</v>
      </c>
      <c r="U259" s="3" t="str">
        <f>IF(ISBLANK('Список деталей'!K267),"",'Список деталей'!K267)</f>
        <v/>
      </c>
      <c r="V259" s="3" t="str">
        <f>IF(AND('Список деталей'!C267&gt;849,'Список деталей'!D267&gt;849)=TRUE,1*'Список деталей'!E267,"")</f>
        <v/>
      </c>
    </row>
    <row r="260" spans="1:22" x14ac:dyDescent="0.45">
      <c r="A260" s="3" t="str">
        <f>IF(ISNUMBER('Список деталей'!A268), 'Список деталей'!A268, "")</f>
        <v/>
      </c>
      <c r="B260" s="30" t="str">
        <f>IF(ISBLANK('Список деталей'!B268),"",'Список деталей'!B268)</f>
        <v/>
      </c>
      <c r="C260" s="3" t="str">
        <f>IF(ISNUMBER('Список деталей'!C268), $W$4,"")</f>
        <v/>
      </c>
      <c r="D260" s="3" t="str">
        <f>IF(ISNUMBER('Список деталей'!C268), 'Список деталей'!$I$4,"")</f>
        <v/>
      </c>
      <c r="E260" s="24" t="str">
        <f>IF(ISNUMBER('Список деталей'!E268), 'Список деталей'!E268, "")</f>
        <v/>
      </c>
      <c r="F260" s="24" t="str">
        <f>IF(ISNUMBER('Список деталей'!C268), 'Список деталей'!C268, "")</f>
        <v/>
      </c>
      <c r="G260" s="24" t="str">
        <f>IF(ISNUMBER('Список деталей'!D268), 'Список деталей'!D268, "")</f>
        <v/>
      </c>
      <c r="H260" s="3" t="str">
        <f t="shared" si="4"/>
        <v xml:space="preserve">    </v>
      </c>
      <c r="I260" s="3" t="str">
        <f>IF(ISBLANK('Список деталей'!F268),"",VLOOKUP('Список деталей'!F268,обозначениКромки,4,0))</f>
        <v/>
      </c>
      <c r="J260" s="25" t="str">
        <f>IF(ISBLANK('Список деталей'!G268),"",VLOOKUP('Список деталей'!G268,обозначениКромки,4,0))</f>
        <v/>
      </c>
      <c r="K260" s="25" t="str">
        <f>IF(ISBLANK('Список деталей'!H268),"",VLOOKUP('Список деталей'!H268,обозначениКромки,4,0))</f>
        <v/>
      </c>
      <c r="L260" s="25" t="str">
        <f>IF(ISBLANK('Список деталей'!I268),"",VLOOKUP('Список деталей'!I268,обозначениКромки,4,0))</f>
        <v/>
      </c>
      <c r="M260" s="24" t="str">
        <f>IF(ISBLANK('Список деталей'!Y268),"",('Список деталей'!Y268))</f>
        <v/>
      </c>
      <c r="N260" s="3" t="str">
        <f>IF(ISBLANK('Список деталей'!Z268),"",('Список деталей'!Z268))</f>
        <v/>
      </c>
      <c r="O260" s="3" t="str">
        <f>IF(ISBLANK('Список деталей'!AA268),"",('Список деталей'!AA268))</f>
        <v/>
      </c>
      <c r="P260" s="3" t="str">
        <f>IF(ISBLANK('Список деталей'!AB268),"",('Список деталей'!AB268))</f>
        <v/>
      </c>
      <c r="Q260" s="45">
        <f>VLOOKUP(IF(ISBLANK('Список деталей'!H268)=TRUE,7,'Список деталей'!H268),кромка,2,0)+VLOOKUP(IF(ISBLANK('Список деталей'!I268)=TRUE,7,'Список деталей'!I268),кромка,2,0)+'Список деталей'!C268</f>
        <v>0</v>
      </c>
      <c r="R260" s="45">
        <f>VLOOKUP(IF(ISBLANK('Список деталей'!F268)=TRUE,7,'Список деталей'!F268),кромка,2,0)+VLOOKUP(IF(ISBLANK('Список деталей'!G268)=TRUE,7,'Список деталей'!G268),кромка,2,0)+'Список деталей'!D268</f>
        <v>0</v>
      </c>
      <c r="S260" s="42">
        <f>IF('Список деталей'!H268="",0,1)+IF('Список деталей'!I268="",0,1)+'Список деталей'!C268</f>
        <v>0</v>
      </c>
      <c r="T260" s="42">
        <f>IF('Список деталей'!F268="",0,1)+IF('Список деталей'!G268="",0,1)+'Список деталей'!D268</f>
        <v>0</v>
      </c>
      <c r="U260" s="3" t="str">
        <f>IF(ISBLANK('Список деталей'!K268),"",'Список деталей'!K268)</f>
        <v/>
      </c>
      <c r="V260" s="3" t="str">
        <f>IF(AND('Список деталей'!C268&gt;849,'Список деталей'!D268&gt;849)=TRUE,1*'Список деталей'!E268,"")</f>
        <v/>
      </c>
    </row>
    <row r="261" spans="1:22" x14ac:dyDescent="0.45">
      <c r="A261" s="3" t="str">
        <f>IF(ISNUMBER('Список деталей'!A269), 'Список деталей'!A269, "")</f>
        <v/>
      </c>
      <c r="B261" s="30" t="str">
        <f>IF(ISBLANK('Список деталей'!B269),"",'Список деталей'!B269)</f>
        <v/>
      </c>
      <c r="C261" s="3" t="str">
        <f>IF(ISNUMBER('Список деталей'!C269), $W$4,"")</f>
        <v/>
      </c>
      <c r="D261" s="3" t="str">
        <f>IF(ISNUMBER('Список деталей'!C269), 'Список деталей'!$I$4,"")</f>
        <v/>
      </c>
      <c r="E261" s="24" t="str">
        <f>IF(ISNUMBER('Список деталей'!E269), 'Список деталей'!E269, "")</f>
        <v/>
      </c>
      <c r="F261" s="24" t="str">
        <f>IF(ISNUMBER('Список деталей'!C269), 'Список деталей'!C269, "")</f>
        <v/>
      </c>
      <c r="G261" s="24" t="str">
        <f>IF(ISNUMBER('Список деталей'!D269), 'Список деталей'!D269, "")</f>
        <v/>
      </c>
      <c r="H261" s="3" t="str">
        <f t="shared" si="4"/>
        <v xml:space="preserve">    </v>
      </c>
      <c r="I261" s="3" t="str">
        <f>IF(ISBLANK('Список деталей'!F269),"",VLOOKUP('Список деталей'!F269,обозначениКромки,4,0))</f>
        <v/>
      </c>
      <c r="J261" s="25" t="str">
        <f>IF(ISBLANK('Список деталей'!G269),"",VLOOKUP('Список деталей'!G269,обозначениКромки,4,0))</f>
        <v/>
      </c>
      <c r="K261" s="25" t="str">
        <f>IF(ISBLANK('Список деталей'!H269),"",VLOOKUP('Список деталей'!H269,обозначениКромки,4,0))</f>
        <v/>
      </c>
      <c r="L261" s="25" t="str">
        <f>IF(ISBLANK('Список деталей'!I269),"",VLOOKUP('Список деталей'!I269,обозначениКромки,4,0))</f>
        <v/>
      </c>
      <c r="M261" s="24" t="str">
        <f>IF(ISBLANK('Список деталей'!Y269),"",('Список деталей'!Y269))</f>
        <v/>
      </c>
      <c r="N261" s="3" t="str">
        <f>IF(ISBLANK('Список деталей'!Z269),"",('Список деталей'!Z269))</f>
        <v/>
      </c>
      <c r="O261" s="3" t="str">
        <f>IF(ISBLANK('Список деталей'!AA269),"",('Список деталей'!AA269))</f>
        <v/>
      </c>
      <c r="P261" s="3" t="str">
        <f>IF(ISBLANK('Список деталей'!AB269),"",('Список деталей'!AB269))</f>
        <v/>
      </c>
      <c r="Q261" s="45">
        <f>VLOOKUP(IF(ISBLANK('Список деталей'!H269)=TRUE,7,'Список деталей'!H269),кромка,2,0)+VLOOKUP(IF(ISBLANK('Список деталей'!I269)=TRUE,7,'Список деталей'!I269),кромка,2,0)+'Список деталей'!C269</f>
        <v>0</v>
      </c>
      <c r="R261" s="45">
        <f>VLOOKUP(IF(ISBLANK('Список деталей'!F269)=TRUE,7,'Список деталей'!F269),кромка,2,0)+VLOOKUP(IF(ISBLANK('Список деталей'!G269)=TRUE,7,'Список деталей'!G269),кромка,2,0)+'Список деталей'!D269</f>
        <v>0</v>
      </c>
      <c r="S261" s="42">
        <f>IF('Список деталей'!H269="",0,1)+IF('Список деталей'!I269="",0,1)+'Список деталей'!C269</f>
        <v>0</v>
      </c>
      <c r="T261" s="42">
        <f>IF('Список деталей'!F269="",0,1)+IF('Список деталей'!G269="",0,1)+'Список деталей'!D269</f>
        <v>0</v>
      </c>
      <c r="U261" s="3" t="str">
        <f>IF(ISBLANK('Список деталей'!K269),"",'Список деталей'!K269)</f>
        <v/>
      </c>
      <c r="V261" s="3" t="str">
        <f>IF(AND('Список деталей'!C269&gt;849,'Список деталей'!D269&gt;849)=TRUE,1*'Список деталей'!E269,"")</f>
        <v/>
      </c>
    </row>
    <row r="262" spans="1:22" x14ac:dyDescent="0.45">
      <c r="A262" s="3" t="str">
        <f>IF(ISNUMBER('Список деталей'!A270), 'Список деталей'!A270, "")</f>
        <v/>
      </c>
      <c r="B262" s="30" t="str">
        <f>IF(ISBLANK('Список деталей'!B270),"",'Список деталей'!B270)</f>
        <v/>
      </c>
      <c r="C262" s="3" t="str">
        <f>IF(ISNUMBER('Список деталей'!C270), $W$4,"")</f>
        <v/>
      </c>
      <c r="D262" s="3" t="str">
        <f>IF(ISNUMBER('Список деталей'!C270), 'Список деталей'!$I$4,"")</f>
        <v/>
      </c>
      <c r="E262" s="24" t="str">
        <f>IF(ISNUMBER('Список деталей'!E270), 'Список деталей'!E270, "")</f>
        <v/>
      </c>
      <c r="F262" s="24" t="str">
        <f>IF(ISNUMBER('Список деталей'!C270), 'Список деталей'!C270, "")</f>
        <v/>
      </c>
      <c r="G262" s="24" t="str">
        <f>IF(ISNUMBER('Список деталей'!D270), 'Список деталей'!D270, "")</f>
        <v/>
      </c>
      <c r="H262" s="3" t="str">
        <f t="shared" si="4"/>
        <v xml:space="preserve">    </v>
      </c>
      <c r="I262" s="3" t="str">
        <f>IF(ISBLANK('Список деталей'!F270),"",VLOOKUP('Список деталей'!F270,обозначениКромки,4,0))</f>
        <v/>
      </c>
      <c r="J262" s="25" t="str">
        <f>IF(ISBLANK('Список деталей'!G270),"",VLOOKUP('Список деталей'!G270,обозначениКромки,4,0))</f>
        <v/>
      </c>
      <c r="K262" s="25" t="str">
        <f>IF(ISBLANK('Список деталей'!H270),"",VLOOKUP('Список деталей'!H270,обозначениКромки,4,0))</f>
        <v/>
      </c>
      <c r="L262" s="25" t="str">
        <f>IF(ISBLANK('Список деталей'!I270),"",VLOOKUP('Список деталей'!I270,обозначениКромки,4,0))</f>
        <v/>
      </c>
      <c r="M262" s="24" t="str">
        <f>IF(ISBLANK('Список деталей'!Y270),"",('Список деталей'!Y270))</f>
        <v/>
      </c>
      <c r="N262" s="3" t="str">
        <f>IF(ISBLANK('Список деталей'!Z270),"",('Список деталей'!Z270))</f>
        <v/>
      </c>
      <c r="O262" s="3" t="str">
        <f>IF(ISBLANK('Список деталей'!AA270),"",('Список деталей'!AA270))</f>
        <v/>
      </c>
      <c r="P262" s="3" t="str">
        <f>IF(ISBLANK('Список деталей'!AB270),"",('Список деталей'!AB270))</f>
        <v/>
      </c>
      <c r="Q262" s="45">
        <f>VLOOKUP(IF(ISBLANK('Список деталей'!H270)=TRUE,7,'Список деталей'!H270),кромка,2,0)+VLOOKUP(IF(ISBLANK('Список деталей'!I270)=TRUE,7,'Список деталей'!I270),кромка,2,0)+'Список деталей'!C270</f>
        <v>0</v>
      </c>
      <c r="R262" s="45">
        <f>VLOOKUP(IF(ISBLANK('Список деталей'!F270)=TRUE,7,'Список деталей'!F270),кромка,2,0)+VLOOKUP(IF(ISBLANK('Список деталей'!G270)=TRUE,7,'Список деталей'!G270),кромка,2,0)+'Список деталей'!D270</f>
        <v>0</v>
      </c>
      <c r="S262" s="42">
        <f>IF('Список деталей'!H270="",0,1)+IF('Список деталей'!I270="",0,1)+'Список деталей'!C270</f>
        <v>0</v>
      </c>
      <c r="T262" s="42">
        <f>IF('Список деталей'!F270="",0,1)+IF('Список деталей'!G270="",0,1)+'Список деталей'!D270</f>
        <v>0</v>
      </c>
      <c r="U262" s="3" t="str">
        <f>IF(ISBLANK('Список деталей'!K270),"",'Список деталей'!K270)</f>
        <v/>
      </c>
      <c r="V262" s="3" t="str">
        <f>IF(AND('Список деталей'!C270&gt;849,'Список деталей'!D270&gt;849)=TRUE,1*'Список деталей'!E270,"")</f>
        <v/>
      </c>
    </row>
    <row r="263" spans="1:22" x14ac:dyDescent="0.45">
      <c r="A263" s="3" t="str">
        <f>IF(ISNUMBER('Список деталей'!A271), 'Список деталей'!A271, "")</f>
        <v/>
      </c>
      <c r="B263" s="30" t="str">
        <f>IF(ISBLANK('Список деталей'!B271),"",'Список деталей'!B271)</f>
        <v/>
      </c>
      <c r="C263" s="3" t="str">
        <f>IF(ISNUMBER('Список деталей'!C271), $W$4,"")</f>
        <v/>
      </c>
      <c r="D263" s="3" t="str">
        <f>IF(ISNUMBER('Список деталей'!C271), 'Список деталей'!$I$4,"")</f>
        <v/>
      </c>
      <c r="E263" s="24" t="str">
        <f>IF(ISNUMBER('Список деталей'!E271), 'Список деталей'!E271, "")</f>
        <v/>
      </c>
      <c r="F263" s="24" t="str">
        <f>IF(ISNUMBER('Список деталей'!C271), 'Список деталей'!C271, "")</f>
        <v/>
      </c>
      <c r="G263" s="24" t="str">
        <f>IF(ISNUMBER('Список деталей'!D271), 'Список деталей'!D271, "")</f>
        <v/>
      </c>
      <c r="H263" s="3" t="str">
        <f t="shared" si="4"/>
        <v xml:space="preserve">    </v>
      </c>
      <c r="I263" s="3" t="str">
        <f>IF(ISBLANK('Список деталей'!F271),"",VLOOKUP('Список деталей'!F271,обозначениКромки,4,0))</f>
        <v/>
      </c>
      <c r="J263" s="25" t="str">
        <f>IF(ISBLANK('Список деталей'!G271),"",VLOOKUP('Список деталей'!G271,обозначениКромки,4,0))</f>
        <v/>
      </c>
      <c r="K263" s="25" t="str">
        <f>IF(ISBLANK('Список деталей'!H271),"",VLOOKUP('Список деталей'!H271,обозначениКромки,4,0))</f>
        <v/>
      </c>
      <c r="L263" s="25" t="str">
        <f>IF(ISBLANK('Список деталей'!I271),"",VLOOKUP('Список деталей'!I271,обозначениКромки,4,0))</f>
        <v/>
      </c>
      <c r="M263" s="24" t="str">
        <f>IF(ISBLANK('Список деталей'!Y271),"",('Список деталей'!Y271))</f>
        <v/>
      </c>
      <c r="N263" s="3" t="str">
        <f>IF(ISBLANK('Список деталей'!Z271),"",('Список деталей'!Z271))</f>
        <v/>
      </c>
      <c r="O263" s="3" t="str">
        <f>IF(ISBLANK('Список деталей'!AA271),"",('Список деталей'!AA271))</f>
        <v/>
      </c>
      <c r="P263" s="3" t="str">
        <f>IF(ISBLANK('Список деталей'!AB271),"",('Список деталей'!AB271))</f>
        <v/>
      </c>
      <c r="Q263" s="45">
        <f>VLOOKUP(IF(ISBLANK('Список деталей'!H271)=TRUE,7,'Список деталей'!H271),кромка,2,0)+VLOOKUP(IF(ISBLANK('Список деталей'!I271)=TRUE,7,'Список деталей'!I271),кромка,2,0)+'Список деталей'!C271</f>
        <v>0</v>
      </c>
      <c r="R263" s="45">
        <f>VLOOKUP(IF(ISBLANK('Список деталей'!F271)=TRUE,7,'Список деталей'!F271),кромка,2,0)+VLOOKUP(IF(ISBLANK('Список деталей'!G271)=TRUE,7,'Список деталей'!G271),кромка,2,0)+'Список деталей'!D271</f>
        <v>0</v>
      </c>
      <c r="S263" s="42">
        <f>IF('Список деталей'!H271="",0,1)+IF('Список деталей'!I271="",0,1)+'Список деталей'!C271</f>
        <v>0</v>
      </c>
      <c r="T263" s="42">
        <f>IF('Список деталей'!F271="",0,1)+IF('Список деталей'!G271="",0,1)+'Список деталей'!D271</f>
        <v>0</v>
      </c>
      <c r="U263" s="3" t="str">
        <f>IF(ISBLANK('Список деталей'!K271),"",'Список деталей'!K271)</f>
        <v/>
      </c>
      <c r="V263" s="3" t="str">
        <f>IF(AND('Список деталей'!C271&gt;849,'Список деталей'!D271&gt;849)=TRUE,1*'Список деталей'!E271,"")</f>
        <v/>
      </c>
    </row>
    <row r="264" spans="1:22" x14ac:dyDescent="0.45">
      <c r="A264" s="3" t="str">
        <f>IF(ISNUMBER('Список деталей'!A272), 'Список деталей'!A272, "")</f>
        <v/>
      </c>
      <c r="B264" s="30" t="str">
        <f>IF(ISBLANK('Список деталей'!B272),"",'Список деталей'!B272)</f>
        <v/>
      </c>
      <c r="C264" s="3" t="str">
        <f>IF(ISNUMBER('Список деталей'!C272), $W$4,"")</f>
        <v/>
      </c>
      <c r="D264" s="3" t="str">
        <f>IF(ISNUMBER('Список деталей'!C272), 'Список деталей'!$I$4,"")</f>
        <v/>
      </c>
      <c r="E264" s="24" t="str">
        <f>IF(ISNUMBER('Список деталей'!E272), 'Список деталей'!E272, "")</f>
        <v/>
      </c>
      <c r="F264" s="24" t="str">
        <f>IF(ISNUMBER('Список деталей'!C272), 'Список деталей'!C272, "")</f>
        <v/>
      </c>
      <c r="G264" s="24" t="str">
        <f>IF(ISNUMBER('Список деталей'!D272), 'Список деталей'!D272, "")</f>
        <v/>
      </c>
      <c r="H264" s="3" t="str">
        <f t="shared" si="4"/>
        <v xml:space="preserve">    </v>
      </c>
      <c r="I264" s="3" t="str">
        <f>IF(ISBLANK('Список деталей'!F272),"",VLOOKUP('Список деталей'!F272,обозначениКромки,4,0))</f>
        <v/>
      </c>
      <c r="J264" s="25" t="str">
        <f>IF(ISBLANK('Список деталей'!G272),"",VLOOKUP('Список деталей'!G272,обозначениКромки,4,0))</f>
        <v/>
      </c>
      <c r="K264" s="25" t="str">
        <f>IF(ISBLANK('Список деталей'!H272),"",VLOOKUP('Список деталей'!H272,обозначениКромки,4,0))</f>
        <v/>
      </c>
      <c r="L264" s="25" t="str">
        <f>IF(ISBLANK('Список деталей'!I272),"",VLOOKUP('Список деталей'!I272,обозначениКромки,4,0))</f>
        <v/>
      </c>
      <c r="M264" s="24" t="str">
        <f>IF(ISBLANK('Список деталей'!Y272),"",('Список деталей'!Y272))</f>
        <v/>
      </c>
      <c r="N264" s="3" t="str">
        <f>IF(ISBLANK('Список деталей'!Z272),"",('Список деталей'!Z272))</f>
        <v/>
      </c>
      <c r="O264" s="3" t="str">
        <f>IF(ISBLANK('Список деталей'!AA272),"",('Список деталей'!AA272))</f>
        <v/>
      </c>
      <c r="P264" s="3" t="str">
        <f>IF(ISBLANK('Список деталей'!AB272),"",('Список деталей'!AB272))</f>
        <v/>
      </c>
      <c r="Q264" s="45">
        <f>VLOOKUP(IF(ISBLANK('Список деталей'!H272)=TRUE,7,'Список деталей'!H272),кромка,2,0)+VLOOKUP(IF(ISBLANK('Список деталей'!I272)=TRUE,7,'Список деталей'!I272),кромка,2,0)+'Список деталей'!C272</f>
        <v>0</v>
      </c>
      <c r="R264" s="45">
        <f>VLOOKUP(IF(ISBLANK('Список деталей'!F272)=TRUE,7,'Список деталей'!F272),кромка,2,0)+VLOOKUP(IF(ISBLANK('Список деталей'!G272)=TRUE,7,'Список деталей'!G272),кромка,2,0)+'Список деталей'!D272</f>
        <v>0</v>
      </c>
      <c r="S264" s="42">
        <f>IF('Список деталей'!H272="",0,1)+IF('Список деталей'!I272="",0,1)+'Список деталей'!C272</f>
        <v>0</v>
      </c>
      <c r="T264" s="42">
        <f>IF('Список деталей'!F272="",0,1)+IF('Список деталей'!G272="",0,1)+'Список деталей'!D272</f>
        <v>0</v>
      </c>
      <c r="U264" s="3" t="str">
        <f>IF(ISBLANK('Список деталей'!K272),"",'Список деталей'!K272)</f>
        <v/>
      </c>
      <c r="V264" s="3" t="str">
        <f>IF(AND('Список деталей'!C272&gt;849,'Список деталей'!D272&gt;849)=TRUE,1*'Список деталей'!E272,"")</f>
        <v/>
      </c>
    </row>
    <row r="265" spans="1:22" x14ac:dyDescent="0.45">
      <c r="A265" s="3" t="str">
        <f>IF(ISNUMBER('Список деталей'!A273), 'Список деталей'!A273, "")</f>
        <v/>
      </c>
      <c r="B265" s="30" t="str">
        <f>IF(ISBLANK('Список деталей'!B273),"",'Список деталей'!B273)</f>
        <v/>
      </c>
      <c r="C265" s="3" t="str">
        <f>IF(ISNUMBER('Список деталей'!C273), $W$4,"")</f>
        <v/>
      </c>
      <c r="D265" s="3" t="str">
        <f>IF(ISNUMBER('Список деталей'!C273), 'Список деталей'!$I$4,"")</f>
        <v/>
      </c>
      <c r="E265" s="24" t="str">
        <f>IF(ISNUMBER('Список деталей'!E273), 'Список деталей'!E273, "")</f>
        <v/>
      </c>
      <c r="F265" s="24" t="str">
        <f>IF(ISNUMBER('Список деталей'!C273), 'Список деталей'!C273, "")</f>
        <v/>
      </c>
      <c r="G265" s="24" t="str">
        <f>IF(ISNUMBER('Список деталей'!D273), 'Список деталей'!D273, "")</f>
        <v/>
      </c>
      <c r="H265" s="3" t="str">
        <f t="shared" si="4"/>
        <v xml:space="preserve">    </v>
      </c>
      <c r="I265" s="3" t="str">
        <f>IF(ISBLANK('Список деталей'!F273),"",VLOOKUP('Список деталей'!F273,обозначениКромки,4,0))</f>
        <v/>
      </c>
      <c r="J265" s="25" t="str">
        <f>IF(ISBLANK('Список деталей'!G273),"",VLOOKUP('Список деталей'!G273,обозначениКромки,4,0))</f>
        <v/>
      </c>
      <c r="K265" s="25" t="str">
        <f>IF(ISBLANK('Список деталей'!H273),"",VLOOKUP('Список деталей'!H273,обозначениКромки,4,0))</f>
        <v/>
      </c>
      <c r="L265" s="25" t="str">
        <f>IF(ISBLANK('Список деталей'!I273),"",VLOOKUP('Список деталей'!I273,обозначениКромки,4,0))</f>
        <v/>
      </c>
      <c r="M265" s="24" t="str">
        <f>IF(ISBLANK('Список деталей'!Y273),"",('Список деталей'!Y273))</f>
        <v/>
      </c>
      <c r="N265" s="3" t="str">
        <f>IF(ISBLANK('Список деталей'!Z273),"",('Список деталей'!Z273))</f>
        <v/>
      </c>
      <c r="O265" s="3" t="str">
        <f>IF(ISBLANK('Список деталей'!AA273),"",('Список деталей'!AA273))</f>
        <v/>
      </c>
      <c r="P265" s="3" t="str">
        <f>IF(ISBLANK('Список деталей'!AB273),"",('Список деталей'!AB273))</f>
        <v/>
      </c>
      <c r="Q265" s="45">
        <f>VLOOKUP(IF(ISBLANK('Список деталей'!H273)=TRUE,7,'Список деталей'!H273),кромка,2,0)+VLOOKUP(IF(ISBLANK('Список деталей'!I273)=TRUE,7,'Список деталей'!I273),кромка,2,0)+'Список деталей'!C273</f>
        <v>0</v>
      </c>
      <c r="R265" s="45">
        <f>VLOOKUP(IF(ISBLANK('Список деталей'!F273)=TRUE,7,'Список деталей'!F273),кромка,2,0)+VLOOKUP(IF(ISBLANK('Список деталей'!G273)=TRUE,7,'Список деталей'!G273),кромка,2,0)+'Список деталей'!D273</f>
        <v>0</v>
      </c>
      <c r="S265" s="42">
        <f>IF('Список деталей'!H273="",0,1)+IF('Список деталей'!I273="",0,1)+'Список деталей'!C273</f>
        <v>0</v>
      </c>
      <c r="T265" s="42">
        <f>IF('Список деталей'!F273="",0,1)+IF('Список деталей'!G273="",0,1)+'Список деталей'!D273</f>
        <v>0</v>
      </c>
      <c r="U265" s="3" t="str">
        <f>IF(ISBLANK('Список деталей'!K273),"",'Список деталей'!K273)</f>
        <v/>
      </c>
      <c r="V265" s="3" t="str">
        <f>IF(AND('Список деталей'!C273&gt;849,'Список деталей'!D273&gt;849)=TRUE,1*'Список деталей'!E273,"")</f>
        <v/>
      </c>
    </row>
    <row r="266" spans="1:22" x14ac:dyDescent="0.45">
      <c r="A266" s="3" t="str">
        <f>IF(ISNUMBER('Список деталей'!A274), 'Список деталей'!A274, "")</f>
        <v/>
      </c>
      <c r="B266" s="30" t="str">
        <f>IF(ISBLANK('Список деталей'!B274),"",'Список деталей'!B274)</f>
        <v/>
      </c>
      <c r="C266" s="3" t="str">
        <f>IF(ISNUMBER('Список деталей'!C274), $W$4,"")</f>
        <v/>
      </c>
      <c r="D266" s="3" t="str">
        <f>IF(ISNUMBER('Список деталей'!C274), 'Список деталей'!$I$4,"")</f>
        <v/>
      </c>
      <c r="E266" s="24" t="str">
        <f>IF(ISNUMBER('Список деталей'!E274), 'Список деталей'!E274, "")</f>
        <v/>
      </c>
      <c r="F266" s="24" t="str">
        <f>IF(ISNUMBER('Список деталей'!C274), 'Список деталей'!C274, "")</f>
        <v/>
      </c>
      <c r="G266" s="24" t="str">
        <f>IF(ISNUMBER('Список деталей'!D274), 'Список деталей'!D274, "")</f>
        <v/>
      </c>
      <c r="H266" s="3" t="str">
        <f t="shared" si="4"/>
        <v xml:space="preserve">    </v>
      </c>
      <c r="I266" s="3" t="str">
        <f>IF(ISBLANK('Список деталей'!F274),"",VLOOKUP('Список деталей'!F274,обозначениКромки,4,0))</f>
        <v/>
      </c>
      <c r="J266" s="25" t="str">
        <f>IF(ISBLANK('Список деталей'!G274),"",VLOOKUP('Список деталей'!G274,обозначениКромки,4,0))</f>
        <v/>
      </c>
      <c r="K266" s="25" t="str">
        <f>IF(ISBLANK('Список деталей'!H274),"",VLOOKUP('Список деталей'!H274,обозначениКромки,4,0))</f>
        <v/>
      </c>
      <c r="L266" s="25" t="str">
        <f>IF(ISBLANK('Список деталей'!I274),"",VLOOKUP('Список деталей'!I274,обозначениКромки,4,0))</f>
        <v/>
      </c>
      <c r="M266" s="24" t="str">
        <f>IF(ISBLANK('Список деталей'!Y274),"",('Список деталей'!Y274))</f>
        <v/>
      </c>
      <c r="N266" s="3" t="str">
        <f>IF(ISBLANK('Список деталей'!Z274),"",('Список деталей'!Z274))</f>
        <v/>
      </c>
      <c r="O266" s="3" t="str">
        <f>IF(ISBLANK('Список деталей'!AA274),"",('Список деталей'!AA274))</f>
        <v/>
      </c>
      <c r="P266" s="3" t="str">
        <f>IF(ISBLANK('Список деталей'!AB274),"",('Список деталей'!AB274))</f>
        <v/>
      </c>
      <c r="Q266" s="45">
        <f>VLOOKUP(IF(ISBLANK('Список деталей'!H274)=TRUE,7,'Список деталей'!H274),кромка,2,0)+VLOOKUP(IF(ISBLANK('Список деталей'!I274)=TRUE,7,'Список деталей'!I274),кромка,2,0)+'Список деталей'!C274</f>
        <v>0</v>
      </c>
      <c r="R266" s="45">
        <f>VLOOKUP(IF(ISBLANK('Список деталей'!F274)=TRUE,7,'Список деталей'!F274),кромка,2,0)+VLOOKUP(IF(ISBLANK('Список деталей'!G274)=TRUE,7,'Список деталей'!G274),кромка,2,0)+'Список деталей'!D274</f>
        <v>0</v>
      </c>
      <c r="S266" s="42">
        <f>IF('Список деталей'!H274="",0,1)+IF('Список деталей'!I274="",0,1)+'Список деталей'!C274</f>
        <v>0</v>
      </c>
      <c r="T266" s="42">
        <f>IF('Список деталей'!F274="",0,1)+IF('Список деталей'!G274="",0,1)+'Список деталей'!D274</f>
        <v>0</v>
      </c>
      <c r="U266" s="3" t="str">
        <f>IF(ISBLANK('Список деталей'!K274),"",'Список деталей'!K274)</f>
        <v/>
      </c>
      <c r="V266" s="3" t="str">
        <f>IF(AND('Список деталей'!C274&gt;849,'Список деталей'!D274&gt;849)=TRUE,1*'Список деталей'!E274,"")</f>
        <v/>
      </c>
    </row>
    <row r="267" spans="1:22" x14ac:dyDescent="0.45">
      <c r="A267" s="3" t="str">
        <f>IF(ISNUMBER('Список деталей'!A275), 'Список деталей'!A275, "")</f>
        <v/>
      </c>
      <c r="B267" s="30" t="str">
        <f>IF(ISBLANK('Список деталей'!B275),"",'Список деталей'!B275)</f>
        <v/>
      </c>
      <c r="C267" s="3" t="str">
        <f>IF(ISNUMBER('Список деталей'!C275), $W$4,"")</f>
        <v/>
      </c>
      <c r="D267" s="3" t="str">
        <f>IF(ISNUMBER('Список деталей'!C275), 'Список деталей'!$I$4,"")</f>
        <v/>
      </c>
      <c r="E267" s="24" t="str">
        <f>IF(ISNUMBER('Список деталей'!E275), 'Список деталей'!E275, "")</f>
        <v/>
      </c>
      <c r="F267" s="24" t="str">
        <f>IF(ISNUMBER('Список деталей'!C275), 'Список деталей'!C275, "")</f>
        <v/>
      </c>
      <c r="G267" s="24" t="str">
        <f>IF(ISNUMBER('Список деталей'!D275), 'Список деталей'!D275, "")</f>
        <v/>
      </c>
      <c r="H267" s="3" t="str">
        <f t="shared" si="4"/>
        <v xml:space="preserve">    </v>
      </c>
      <c r="I267" s="3" t="str">
        <f>IF(ISBLANK('Список деталей'!F275),"",VLOOKUP('Список деталей'!F275,обозначениКромки,4,0))</f>
        <v/>
      </c>
      <c r="J267" s="25" t="str">
        <f>IF(ISBLANK('Список деталей'!G275),"",VLOOKUP('Список деталей'!G275,обозначениКромки,4,0))</f>
        <v/>
      </c>
      <c r="K267" s="25" t="str">
        <f>IF(ISBLANK('Список деталей'!H275),"",VLOOKUP('Список деталей'!H275,обозначениКромки,4,0))</f>
        <v/>
      </c>
      <c r="L267" s="25" t="str">
        <f>IF(ISBLANK('Список деталей'!I275),"",VLOOKUP('Список деталей'!I275,обозначениКромки,4,0))</f>
        <v/>
      </c>
      <c r="M267" s="24" t="str">
        <f>IF(ISBLANK('Список деталей'!Y275),"",('Список деталей'!Y275))</f>
        <v/>
      </c>
      <c r="N267" s="3" t="str">
        <f>IF(ISBLANK('Список деталей'!Z275),"",('Список деталей'!Z275))</f>
        <v/>
      </c>
      <c r="O267" s="3" t="str">
        <f>IF(ISBLANK('Список деталей'!AA275),"",('Список деталей'!AA275))</f>
        <v/>
      </c>
      <c r="P267" s="3" t="str">
        <f>IF(ISBLANK('Список деталей'!AB275),"",('Список деталей'!AB275))</f>
        <v/>
      </c>
      <c r="Q267" s="45">
        <f>VLOOKUP(IF(ISBLANK('Список деталей'!H275)=TRUE,7,'Список деталей'!H275),кромка,2,0)+VLOOKUP(IF(ISBLANK('Список деталей'!I275)=TRUE,7,'Список деталей'!I275),кромка,2,0)+'Список деталей'!C275</f>
        <v>0</v>
      </c>
      <c r="R267" s="45">
        <f>VLOOKUP(IF(ISBLANK('Список деталей'!F275)=TRUE,7,'Список деталей'!F275),кромка,2,0)+VLOOKUP(IF(ISBLANK('Список деталей'!G275)=TRUE,7,'Список деталей'!G275),кромка,2,0)+'Список деталей'!D275</f>
        <v>0</v>
      </c>
      <c r="S267" s="42">
        <f>IF('Список деталей'!H275="",0,1)+IF('Список деталей'!I275="",0,1)+'Список деталей'!C275</f>
        <v>0</v>
      </c>
      <c r="T267" s="42">
        <f>IF('Список деталей'!F275="",0,1)+IF('Список деталей'!G275="",0,1)+'Список деталей'!D275</f>
        <v>0</v>
      </c>
      <c r="U267" s="3" t="str">
        <f>IF(ISBLANK('Список деталей'!K275),"",'Список деталей'!K275)</f>
        <v/>
      </c>
      <c r="V267" s="3" t="str">
        <f>IF(AND('Список деталей'!C275&gt;849,'Список деталей'!D275&gt;849)=TRUE,1*'Список деталей'!E275,"")</f>
        <v/>
      </c>
    </row>
    <row r="268" spans="1:22" x14ac:dyDescent="0.45">
      <c r="A268" s="3" t="str">
        <f>IF(ISNUMBER('Список деталей'!A276), 'Список деталей'!A276, "")</f>
        <v/>
      </c>
      <c r="B268" s="30" t="str">
        <f>IF(ISBLANK('Список деталей'!B276),"",'Список деталей'!B276)</f>
        <v/>
      </c>
      <c r="C268" s="3" t="str">
        <f>IF(ISNUMBER('Список деталей'!C276), $W$4,"")</f>
        <v/>
      </c>
      <c r="D268" s="3" t="str">
        <f>IF(ISNUMBER('Список деталей'!C276), 'Список деталей'!$I$4,"")</f>
        <v/>
      </c>
      <c r="E268" s="24" t="str">
        <f>IF(ISNUMBER('Список деталей'!E276), 'Список деталей'!E276, "")</f>
        <v/>
      </c>
      <c r="F268" s="24" t="str">
        <f>IF(ISNUMBER('Список деталей'!C276), 'Список деталей'!C276, "")</f>
        <v/>
      </c>
      <c r="G268" s="24" t="str">
        <f>IF(ISNUMBER('Список деталей'!D276), 'Список деталей'!D276, "")</f>
        <v/>
      </c>
      <c r="H268" s="3" t="str">
        <f t="shared" si="4"/>
        <v xml:space="preserve">    </v>
      </c>
      <c r="I268" s="3" t="str">
        <f>IF(ISBLANK('Список деталей'!F276),"",VLOOKUP('Список деталей'!F276,обозначениКромки,4,0))</f>
        <v/>
      </c>
      <c r="J268" s="25" t="str">
        <f>IF(ISBLANK('Список деталей'!G276),"",VLOOKUP('Список деталей'!G276,обозначениКромки,4,0))</f>
        <v/>
      </c>
      <c r="K268" s="25" t="str">
        <f>IF(ISBLANK('Список деталей'!H276),"",VLOOKUP('Список деталей'!H276,обозначениКромки,4,0))</f>
        <v/>
      </c>
      <c r="L268" s="25" t="str">
        <f>IF(ISBLANK('Список деталей'!I276),"",VLOOKUP('Список деталей'!I276,обозначениКромки,4,0))</f>
        <v/>
      </c>
      <c r="M268" s="24" t="str">
        <f>IF(ISBLANK('Список деталей'!Y276),"",('Список деталей'!Y276))</f>
        <v/>
      </c>
      <c r="N268" s="3" t="str">
        <f>IF(ISBLANK('Список деталей'!Z276),"",('Список деталей'!Z276))</f>
        <v/>
      </c>
      <c r="O268" s="3" t="str">
        <f>IF(ISBLANK('Список деталей'!AA276),"",('Список деталей'!AA276))</f>
        <v/>
      </c>
      <c r="P268" s="3" t="str">
        <f>IF(ISBLANK('Список деталей'!AB276),"",('Список деталей'!AB276))</f>
        <v/>
      </c>
      <c r="Q268" s="45">
        <f>VLOOKUP(IF(ISBLANK('Список деталей'!H276)=TRUE,7,'Список деталей'!H276),кромка,2,0)+VLOOKUP(IF(ISBLANK('Список деталей'!I276)=TRUE,7,'Список деталей'!I276),кромка,2,0)+'Список деталей'!C276</f>
        <v>0</v>
      </c>
      <c r="R268" s="45">
        <f>VLOOKUP(IF(ISBLANK('Список деталей'!F276)=TRUE,7,'Список деталей'!F276),кромка,2,0)+VLOOKUP(IF(ISBLANK('Список деталей'!G276)=TRUE,7,'Список деталей'!G276),кромка,2,0)+'Список деталей'!D276</f>
        <v>0</v>
      </c>
      <c r="S268" s="42">
        <f>IF('Список деталей'!H276="",0,1)+IF('Список деталей'!I276="",0,1)+'Список деталей'!C276</f>
        <v>0</v>
      </c>
      <c r="T268" s="42">
        <f>IF('Список деталей'!F276="",0,1)+IF('Список деталей'!G276="",0,1)+'Список деталей'!D276</f>
        <v>0</v>
      </c>
      <c r="U268" s="3" t="str">
        <f>IF(ISBLANK('Список деталей'!K276),"",'Список деталей'!K276)</f>
        <v/>
      </c>
      <c r="V268" s="3" t="str">
        <f>IF(AND('Список деталей'!C276&gt;849,'Список деталей'!D276&gt;849)=TRUE,1*'Список деталей'!E276,"")</f>
        <v/>
      </c>
    </row>
    <row r="269" spans="1:22" x14ac:dyDescent="0.45">
      <c r="A269" s="3" t="str">
        <f>IF(ISNUMBER('Список деталей'!A277), 'Список деталей'!A277, "")</f>
        <v/>
      </c>
      <c r="B269" s="30" t="str">
        <f>IF(ISBLANK('Список деталей'!B277),"",'Список деталей'!B277)</f>
        <v/>
      </c>
      <c r="C269" s="3" t="str">
        <f>IF(ISNUMBER('Список деталей'!C277), $W$4,"")</f>
        <v/>
      </c>
      <c r="D269" s="3" t="str">
        <f>IF(ISNUMBER('Список деталей'!C277), 'Список деталей'!$I$4,"")</f>
        <v/>
      </c>
      <c r="E269" s="24" t="str">
        <f>IF(ISNUMBER('Список деталей'!E277), 'Список деталей'!E277, "")</f>
        <v/>
      </c>
      <c r="F269" s="24" t="str">
        <f>IF(ISNUMBER('Список деталей'!C277), 'Список деталей'!C277, "")</f>
        <v/>
      </c>
      <c r="G269" s="24" t="str">
        <f>IF(ISNUMBER('Список деталей'!D277), 'Список деталей'!D277, "")</f>
        <v/>
      </c>
      <c r="H269" s="3" t="str">
        <f t="shared" si="4"/>
        <v xml:space="preserve">    </v>
      </c>
      <c r="I269" s="3" t="str">
        <f>IF(ISBLANK('Список деталей'!F277),"",VLOOKUP('Список деталей'!F277,обозначениКромки,4,0))</f>
        <v/>
      </c>
      <c r="J269" s="25" t="str">
        <f>IF(ISBLANK('Список деталей'!G277),"",VLOOKUP('Список деталей'!G277,обозначениКромки,4,0))</f>
        <v/>
      </c>
      <c r="K269" s="25" t="str">
        <f>IF(ISBLANK('Список деталей'!H277),"",VLOOKUP('Список деталей'!H277,обозначениКромки,4,0))</f>
        <v/>
      </c>
      <c r="L269" s="25" t="str">
        <f>IF(ISBLANK('Список деталей'!I277),"",VLOOKUP('Список деталей'!I277,обозначениКромки,4,0))</f>
        <v/>
      </c>
      <c r="M269" s="24" t="str">
        <f>IF(ISBLANK('Список деталей'!Y277),"",('Список деталей'!Y277))</f>
        <v/>
      </c>
      <c r="N269" s="3" t="str">
        <f>IF(ISBLANK('Список деталей'!Z277),"",('Список деталей'!Z277))</f>
        <v/>
      </c>
      <c r="O269" s="3" t="str">
        <f>IF(ISBLANK('Список деталей'!AA277),"",('Список деталей'!AA277))</f>
        <v/>
      </c>
      <c r="P269" s="3" t="str">
        <f>IF(ISBLANK('Список деталей'!AB277),"",('Список деталей'!AB277))</f>
        <v/>
      </c>
      <c r="Q269" s="45">
        <f>VLOOKUP(IF(ISBLANK('Список деталей'!H277)=TRUE,7,'Список деталей'!H277),кромка,2,0)+VLOOKUP(IF(ISBLANK('Список деталей'!I277)=TRUE,7,'Список деталей'!I277),кромка,2,0)+'Список деталей'!C277</f>
        <v>0</v>
      </c>
      <c r="R269" s="45">
        <f>VLOOKUP(IF(ISBLANK('Список деталей'!F277)=TRUE,7,'Список деталей'!F277),кромка,2,0)+VLOOKUP(IF(ISBLANK('Список деталей'!G277)=TRUE,7,'Список деталей'!G277),кромка,2,0)+'Список деталей'!D277</f>
        <v>0</v>
      </c>
      <c r="S269" s="42">
        <f>IF('Список деталей'!H277="",0,1)+IF('Список деталей'!I277="",0,1)+'Список деталей'!C277</f>
        <v>0</v>
      </c>
      <c r="T269" s="42">
        <f>IF('Список деталей'!F277="",0,1)+IF('Список деталей'!G277="",0,1)+'Список деталей'!D277</f>
        <v>0</v>
      </c>
      <c r="U269" s="3" t="str">
        <f>IF(ISBLANK('Список деталей'!K277),"",'Список деталей'!K277)</f>
        <v/>
      </c>
      <c r="V269" s="3" t="str">
        <f>IF(AND('Список деталей'!C277&gt;849,'Список деталей'!D277&gt;849)=TRUE,1*'Список деталей'!E277,"")</f>
        <v/>
      </c>
    </row>
    <row r="270" spans="1:22" x14ac:dyDescent="0.45">
      <c r="A270" s="3" t="str">
        <f>IF(ISNUMBER('Список деталей'!A278), 'Список деталей'!A278, "")</f>
        <v/>
      </c>
      <c r="B270" s="30" t="str">
        <f>IF(ISBLANK('Список деталей'!B278),"",'Список деталей'!B278)</f>
        <v/>
      </c>
      <c r="C270" s="3" t="str">
        <f>IF(ISNUMBER('Список деталей'!C278), $W$4,"")</f>
        <v/>
      </c>
      <c r="D270" s="3" t="str">
        <f>IF(ISNUMBER('Список деталей'!C278), 'Список деталей'!$I$4,"")</f>
        <v/>
      </c>
      <c r="E270" s="24" t="str">
        <f>IF(ISNUMBER('Список деталей'!E278), 'Список деталей'!E278, "")</f>
        <v/>
      </c>
      <c r="F270" s="24" t="str">
        <f>IF(ISNUMBER('Список деталей'!C278), 'Список деталей'!C278, "")</f>
        <v/>
      </c>
      <c r="G270" s="24" t="str">
        <f>IF(ISNUMBER('Список деталей'!D278), 'Список деталей'!D278, "")</f>
        <v/>
      </c>
      <c r="H270" s="3" t="str">
        <f t="shared" si="4"/>
        <v xml:space="preserve">    </v>
      </c>
      <c r="I270" s="3" t="str">
        <f>IF(ISBLANK('Список деталей'!F278),"",VLOOKUP('Список деталей'!F278,обозначениКромки,4,0))</f>
        <v/>
      </c>
      <c r="J270" s="25" t="str">
        <f>IF(ISBLANK('Список деталей'!G278),"",VLOOKUP('Список деталей'!G278,обозначениКромки,4,0))</f>
        <v/>
      </c>
      <c r="K270" s="25" t="str">
        <f>IF(ISBLANK('Список деталей'!H278),"",VLOOKUP('Список деталей'!H278,обозначениКромки,4,0))</f>
        <v/>
      </c>
      <c r="L270" s="25" t="str">
        <f>IF(ISBLANK('Список деталей'!I278),"",VLOOKUP('Список деталей'!I278,обозначениКромки,4,0))</f>
        <v/>
      </c>
      <c r="M270" s="24" t="str">
        <f>IF(ISBLANK('Список деталей'!Y278),"",('Список деталей'!Y278))</f>
        <v/>
      </c>
      <c r="N270" s="3" t="str">
        <f>IF(ISBLANK('Список деталей'!Z278),"",('Список деталей'!Z278))</f>
        <v/>
      </c>
      <c r="O270" s="3" t="str">
        <f>IF(ISBLANK('Список деталей'!AA278),"",('Список деталей'!AA278))</f>
        <v/>
      </c>
      <c r="P270" s="3" t="str">
        <f>IF(ISBLANK('Список деталей'!AB278),"",('Список деталей'!AB278))</f>
        <v/>
      </c>
      <c r="Q270" s="45">
        <f>VLOOKUP(IF(ISBLANK('Список деталей'!H278)=TRUE,7,'Список деталей'!H278),кромка,2,0)+VLOOKUP(IF(ISBLANK('Список деталей'!I278)=TRUE,7,'Список деталей'!I278),кромка,2,0)+'Список деталей'!C278</f>
        <v>0</v>
      </c>
      <c r="R270" s="45">
        <f>VLOOKUP(IF(ISBLANK('Список деталей'!F278)=TRUE,7,'Список деталей'!F278),кромка,2,0)+VLOOKUP(IF(ISBLANK('Список деталей'!G278)=TRUE,7,'Список деталей'!G278),кромка,2,0)+'Список деталей'!D278</f>
        <v>0</v>
      </c>
      <c r="S270" s="42">
        <f>IF('Список деталей'!H278="",0,1)+IF('Список деталей'!I278="",0,1)+'Список деталей'!C278</f>
        <v>0</v>
      </c>
      <c r="T270" s="42">
        <f>IF('Список деталей'!F278="",0,1)+IF('Список деталей'!G278="",0,1)+'Список деталей'!D278</f>
        <v>0</v>
      </c>
      <c r="U270" s="3" t="str">
        <f>IF(ISBLANK('Список деталей'!K278),"",'Список деталей'!K278)</f>
        <v/>
      </c>
      <c r="V270" s="3" t="str">
        <f>IF(AND('Список деталей'!C278&gt;849,'Список деталей'!D278&gt;849)=TRUE,1*'Список деталей'!E278,"")</f>
        <v/>
      </c>
    </row>
    <row r="271" spans="1:22" x14ac:dyDescent="0.45">
      <c r="A271" s="3" t="str">
        <f>IF(ISNUMBER('Список деталей'!A279), 'Список деталей'!A279, "")</f>
        <v/>
      </c>
      <c r="B271" s="30" t="str">
        <f>IF(ISBLANK('Список деталей'!B279),"",'Список деталей'!B279)</f>
        <v/>
      </c>
      <c r="C271" s="3" t="str">
        <f>IF(ISNUMBER('Список деталей'!C279), $W$4,"")</f>
        <v/>
      </c>
      <c r="D271" s="3" t="str">
        <f>IF(ISNUMBER('Список деталей'!C279), 'Список деталей'!$I$4,"")</f>
        <v/>
      </c>
      <c r="E271" s="24" t="str">
        <f>IF(ISNUMBER('Список деталей'!E279), 'Список деталей'!E279, "")</f>
        <v/>
      </c>
      <c r="F271" s="24" t="str">
        <f>IF(ISNUMBER('Список деталей'!C279), 'Список деталей'!C279, "")</f>
        <v/>
      </c>
      <c r="G271" s="24" t="str">
        <f>IF(ISNUMBER('Список деталей'!D279), 'Список деталей'!D279, "")</f>
        <v/>
      </c>
      <c r="H271" s="3" t="str">
        <f t="shared" si="4"/>
        <v xml:space="preserve">    </v>
      </c>
      <c r="I271" s="3" t="str">
        <f>IF(ISBLANK('Список деталей'!F279),"",VLOOKUP('Список деталей'!F279,обозначениКромки,4,0))</f>
        <v/>
      </c>
      <c r="J271" s="25" t="str">
        <f>IF(ISBLANK('Список деталей'!G279),"",VLOOKUP('Список деталей'!G279,обозначениКромки,4,0))</f>
        <v/>
      </c>
      <c r="K271" s="25" t="str">
        <f>IF(ISBLANK('Список деталей'!H279),"",VLOOKUP('Список деталей'!H279,обозначениКромки,4,0))</f>
        <v/>
      </c>
      <c r="L271" s="25" t="str">
        <f>IF(ISBLANK('Список деталей'!I279),"",VLOOKUP('Список деталей'!I279,обозначениКромки,4,0))</f>
        <v/>
      </c>
      <c r="M271" s="24" t="str">
        <f>IF(ISBLANK('Список деталей'!Y279),"",('Список деталей'!Y279))</f>
        <v/>
      </c>
      <c r="N271" s="3" t="str">
        <f>IF(ISBLANK('Список деталей'!Z279),"",('Список деталей'!Z279))</f>
        <v/>
      </c>
      <c r="O271" s="3" t="str">
        <f>IF(ISBLANK('Список деталей'!AA279),"",('Список деталей'!AA279))</f>
        <v/>
      </c>
      <c r="P271" s="3" t="str">
        <f>IF(ISBLANK('Список деталей'!AB279),"",('Список деталей'!AB279))</f>
        <v/>
      </c>
      <c r="Q271" s="45">
        <f>VLOOKUP(IF(ISBLANK('Список деталей'!H279)=TRUE,7,'Список деталей'!H279),кромка,2,0)+VLOOKUP(IF(ISBLANK('Список деталей'!I279)=TRUE,7,'Список деталей'!I279),кромка,2,0)+'Список деталей'!C279</f>
        <v>0</v>
      </c>
      <c r="R271" s="45">
        <f>VLOOKUP(IF(ISBLANK('Список деталей'!F279)=TRUE,7,'Список деталей'!F279),кромка,2,0)+VLOOKUP(IF(ISBLANK('Список деталей'!G279)=TRUE,7,'Список деталей'!G279),кромка,2,0)+'Список деталей'!D279</f>
        <v>0</v>
      </c>
      <c r="S271" s="42">
        <f>IF('Список деталей'!H279="",0,1)+IF('Список деталей'!I279="",0,1)+'Список деталей'!C279</f>
        <v>0</v>
      </c>
      <c r="T271" s="42">
        <f>IF('Список деталей'!F279="",0,1)+IF('Список деталей'!G279="",0,1)+'Список деталей'!D279</f>
        <v>0</v>
      </c>
      <c r="U271" s="3" t="str">
        <f>IF(ISBLANK('Список деталей'!K279),"",'Список деталей'!K279)</f>
        <v/>
      </c>
      <c r="V271" s="3" t="str">
        <f>IF(AND('Список деталей'!C279&gt;849,'Список деталей'!D279&gt;849)=TRUE,1*'Список деталей'!E279,"")</f>
        <v/>
      </c>
    </row>
    <row r="272" spans="1:22" x14ac:dyDescent="0.45">
      <c r="A272" s="3" t="str">
        <f>IF(ISNUMBER('Список деталей'!A280), 'Список деталей'!A280, "")</f>
        <v/>
      </c>
      <c r="B272" s="30" t="str">
        <f>IF(ISBLANK('Список деталей'!B280),"",'Список деталей'!B280)</f>
        <v/>
      </c>
      <c r="C272" s="3" t="str">
        <f>IF(ISNUMBER('Список деталей'!C280), $W$4,"")</f>
        <v/>
      </c>
      <c r="D272" s="3" t="str">
        <f>IF(ISNUMBER('Список деталей'!C280), 'Список деталей'!$I$4,"")</f>
        <v/>
      </c>
      <c r="E272" s="24" t="str">
        <f>IF(ISNUMBER('Список деталей'!E280), 'Список деталей'!E280, "")</f>
        <v/>
      </c>
      <c r="F272" s="24" t="str">
        <f>IF(ISNUMBER('Список деталей'!C280), 'Список деталей'!C280, "")</f>
        <v/>
      </c>
      <c r="G272" s="24" t="str">
        <f>IF(ISNUMBER('Список деталей'!D280), 'Список деталей'!D280, "")</f>
        <v/>
      </c>
      <c r="H272" s="3" t="str">
        <f t="shared" si="4"/>
        <v xml:space="preserve">    </v>
      </c>
      <c r="I272" s="3" t="str">
        <f>IF(ISBLANK('Список деталей'!F280),"",VLOOKUP('Список деталей'!F280,обозначениКромки,4,0))</f>
        <v/>
      </c>
      <c r="J272" s="25" t="str">
        <f>IF(ISBLANK('Список деталей'!G280),"",VLOOKUP('Список деталей'!G280,обозначениКромки,4,0))</f>
        <v/>
      </c>
      <c r="K272" s="25" t="str">
        <f>IF(ISBLANK('Список деталей'!H280),"",VLOOKUP('Список деталей'!H280,обозначениКромки,4,0))</f>
        <v/>
      </c>
      <c r="L272" s="25" t="str">
        <f>IF(ISBLANK('Список деталей'!I280),"",VLOOKUP('Список деталей'!I280,обозначениКромки,4,0))</f>
        <v/>
      </c>
      <c r="M272" s="24" t="str">
        <f>IF(ISBLANK('Список деталей'!Y280),"",('Список деталей'!Y280))</f>
        <v/>
      </c>
      <c r="N272" s="3" t="str">
        <f>IF(ISBLANK('Список деталей'!Z280),"",('Список деталей'!Z280))</f>
        <v/>
      </c>
      <c r="O272" s="3" t="str">
        <f>IF(ISBLANK('Список деталей'!AA280),"",('Список деталей'!AA280))</f>
        <v/>
      </c>
      <c r="P272" s="3" t="str">
        <f>IF(ISBLANK('Список деталей'!AB280),"",('Список деталей'!AB280))</f>
        <v/>
      </c>
      <c r="Q272" s="45">
        <f>VLOOKUP(IF(ISBLANK('Список деталей'!H280)=TRUE,7,'Список деталей'!H280),кромка,2,0)+VLOOKUP(IF(ISBLANK('Список деталей'!I280)=TRUE,7,'Список деталей'!I280),кромка,2,0)+'Список деталей'!C280</f>
        <v>0</v>
      </c>
      <c r="R272" s="45">
        <f>VLOOKUP(IF(ISBLANK('Список деталей'!F280)=TRUE,7,'Список деталей'!F280),кромка,2,0)+VLOOKUP(IF(ISBLANK('Список деталей'!G280)=TRUE,7,'Список деталей'!G280),кромка,2,0)+'Список деталей'!D280</f>
        <v>0</v>
      </c>
      <c r="S272" s="42">
        <f>IF('Список деталей'!H280="",0,1)+IF('Список деталей'!I280="",0,1)+'Список деталей'!C280</f>
        <v>0</v>
      </c>
      <c r="T272" s="42">
        <f>IF('Список деталей'!F280="",0,1)+IF('Список деталей'!G280="",0,1)+'Список деталей'!D280</f>
        <v>0</v>
      </c>
      <c r="U272" s="3" t="str">
        <f>IF(ISBLANK('Список деталей'!K280),"",'Список деталей'!K280)</f>
        <v/>
      </c>
      <c r="V272" s="3" t="str">
        <f>IF(AND('Список деталей'!C280&gt;849,'Список деталей'!D280&gt;849)=TRUE,1*'Список деталей'!E280,"")</f>
        <v/>
      </c>
    </row>
    <row r="273" spans="1:22" x14ac:dyDescent="0.45">
      <c r="A273" s="3" t="str">
        <f>IF(ISNUMBER('Список деталей'!A281), 'Список деталей'!A281, "")</f>
        <v/>
      </c>
      <c r="B273" s="30" t="str">
        <f>IF(ISBLANK('Список деталей'!B281),"",'Список деталей'!B281)</f>
        <v/>
      </c>
      <c r="C273" s="3" t="str">
        <f>IF(ISNUMBER('Список деталей'!C281), $W$4,"")</f>
        <v/>
      </c>
      <c r="D273" s="3" t="str">
        <f>IF(ISNUMBER('Список деталей'!C281), 'Список деталей'!$I$4,"")</f>
        <v/>
      </c>
      <c r="E273" s="24" t="str">
        <f>IF(ISNUMBER('Список деталей'!E281), 'Список деталей'!E281, "")</f>
        <v/>
      </c>
      <c r="F273" s="24" t="str">
        <f>IF(ISNUMBER('Список деталей'!C281), 'Список деталей'!C281, "")</f>
        <v/>
      </c>
      <c r="G273" s="24" t="str">
        <f>IF(ISNUMBER('Список деталей'!D281), 'Список деталей'!D281, "")</f>
        <v/>
      </c>
      <c r="H273" s="3" t="str">
        <f t="shared" si="4"/>
        <v xml:space="preserve">    </v>
      </c>
      <c r="I273" s="3" t="str">
        <f>IF(ISBLANK('Список деталей'!F281),"",VLOOKUP('Список деталей'!F281,обозначениКромки,4,0))</f>
        <v/>
      </c>
      <c r="J273" s="25" t="str">
        <f>IF(ISBLANK('Список деталей'!G281),"",VLOOKUP('Список деталей'!G281,обозначениКромки,4,0))</f>
        <v/>
      </c>
      <c r="K273" s="25" t="str">
        <f>IF(ISBLANK('Список деталей'!H281),"",VLOOKUP('Список деталей'!H281,обозначениКромки,4,0))</f>
        <v/>
      </c>
      <c r="L273" s="25" t="str">
        <f>IF(ISBLANK('Список деталей'!I281),"",VLOOKUP('Список деталей'!I281,обозначениКромки,4,0))</f>
        <v/>
      </c>
      <c r="M273" s="24" t="str">
        <f>IF(ISBLANK('Список деталей'!Y281),"",('Список деталей'!Y281))</f>
        <v/>
      </c>
      <c r="N273" s="3" t="str">
        <f>IF(ISBLANK('Список деталей'!Z281),"",('Список деталей'!Z281))</f>
        <v/>
      </c>
      <c r="O273" s="3" t="str">
        <f>IF(ISBLANK('Список деталей'!AA281),"",('Список деталей'!AA281))</f>
        <v/>
      </c>
      <c r="P273" s="3" t="str">
        <f>IF(ISBLANK('Список деталей'!AB281),"",('Список деталей'!AB281))</f>
        <v/>
      </c>
      <c r="Q273" s="45">
        <f>VLOOKUP(IF(ISBLANK('Список деталей'!H281)=TRUE,7,'Список деталей'!H281),кромка,2,0)+VLOOKUP(IF(ISBLANK('Список деталей'!I281)=TRUE,7,'Список деталей'!I281),кромка,2,0)+'Список деталей'!C281</f>
        <v>0</v>
      </c>
      <c r="R273" s="45">
        <f>VLOOKUP(IF(ISBLANK('Список деталей'!F281)=TRUE,7,'Список деталей'!F281),кромка,2,0)+VLOOKUP(IF(ISBLANK('Список деталей'!G281)=TRUE,7,'Список деталей'!G281),кромка,2,0)+'Список деталей'!D281</f>
        <v>0</v>
      </c>
      <c r="S273" s="42">
        <f>IF('Список деталей'!H281="",0,1)+IF('Список деталей'!I281="",0,1)+'Список деталей'!C281</f>
        <v>0</v>
      </c>
      <c r="T273" s="42">
        <f>IF('Список деталей'!F281="",0,1)+IF('Список деталей'!G281="",0,1)+'Список деталей'!D281</f>
        <v>0</v>
      </c>
      <c r="U273" s="3" t="str">
        <f>IF(ISBLANK('Список деталей'!K281),"",'Список деталей'!K281)</f>
        <v/>
      </c>
      <c r="V273" s="3" t="str">
        <f>IF(AND('Список деталей'!C281&gt;849,'Список деталей'!D281&gt;849)=TRUE,1*'Список деталей'!E281,"")</f>
        <v/>
      </c>
    </row>
    <row r="274" spans="1:22" x14ac:dyDescent="0.45">
      <c r="A274" s="3" t="str">
        <f>IF(ISNUMBER('Список деталей'!A282), 'Список деталей'!A282, "")</f>
        <v/>
      </c>
      <c r="B274" s="30" t="str">
        <f>IF(ISBLANK('Список деталей'!B282),"",'Список деталей'!B282)</f>
        <v/>
      </c>
      <c r="C274" s="3" t="str">
        <f>IF(ISNUMBER('Список деталей'!C282), $W$4,"")</f>
        <v/>
      </c>
      <c r="D274" s="3" t="str">
        <f>IF(ISNUMBER('Список деталей'!C282), 'Список деталей'!$I$4,"")</f>
        <v/>
      </c>
      <c r="E274" s="24" t="str">
        <f>IF(ISNUMBER('Список деталей'!E282), 'Список деталей'!E282, "")</f>
        <v/>
      </c>
      <c r="F274" s="24" t="str">
        <f>IF(ISNUMBER('Список деталей'!C282), 'Список деталей'!C282, "")</f>
        <v/>
      </c>
      <c r="G274" s="24" t="str">
        <f>IF(ISNUMBER('Список деталей'!D282), 'Список деталей'!D282, "")</f>
        <v/>
      </c>
      <c r="H274" s="3" t="str">
        <f t="shared" si="4"/>
        <v xml:space="preserve">    </v>
      </c>
      <c r="I274" s="3" t="str">
        <f>IF(ISBLANK('Список деталей'!F282),"",VLOOKUP('Список деталей'!F282,обозначениКромки,4,0))</f>
        <v/>
      </c>
      <c r="J274" s="25" t="str">
        <f>IF(ISBLANK('Список деталей'!G282),"",VLOOKUP('Список деталей'!G282,обозначениКромки,4,0))</f>
        <v/>
      </c>
      <c r="K274" s="25" t="str">
        <f>IF(ISBLANK('Список деталей'!H282),"",VLOOKUP('Список деталей'!H282,обозначениКромки,4,0))</f>
        <v/>
      </c>
      <c r="L274" s="25" t="str">
        <f>IF(ISBLANK('Список деталей'!I282),"",VLOOKUP('Список деталей'!I282,обозначениКромки,4,0))</f>
        <v/>
      </c>
      <c r="M274" s="24" t="str">
        <f>IF(ISBLANK('Список деталей'!Y282),"",('Список деталей'!Y282))</f>
        <v/>
      </c>
      <c r="N274" s="3" t="str">
        <f>IF(ISBLANK('Список деталей'!Z282),"",('Список деталей'!Z282))</f>
        <v/>
      </c>
      <c r="O274" s="3" t="str">
        <f>IF(ISBLANK('Список деталей'!AA282),"",('Список деталей'!AA282))</f>
        <v/>
      </c>
      <c r="P274" s="3" t="str">
        <f>IF(ISBLANK('Список деталей'!AB282),"",('Список деталей'!AB282))</f>
        <v/>
      </c>
      <c r="Q274" s="45">
        <f>VLOOKUP(IF(ISBLANK('Список деталей'!H282)=TRUE,7,'Список деталей'!H282),кромка,2,0)+VLOOKUP(IF(ISBLANK('Список деталей'!I282)=TRUE,7,'Список деталей'!I282),кромка,2,0)+'Список деталей'!C282</f>
        <v>0</v>
      </c>
      <c r="R274" s="45">
        <f>VLOOKUP(IF(ISBLANK('Список деталей'!F282)=TRUE,7,'Список деталей'!F282),кромка,2,0)+VLOOKUP(IF(ISBLANK('Список деталей'!G282)=TRUE,7,'Список деталей'!G282),кромка,2,0)+'Список деталей'!D282</f>
        <v>0</v>
      </c>
      <c r="S274" s="42">
        <f>IF('Список деталей'!H282="",0,1)+IF('Список деталей'!I282="",0,1)+'Список деталей'!C282</f>
        <v>0</v>
      </c>
      <c r="T274" s="42">
        <f>IF('Список деталей'!F282="",0,1)+IF('Список деталей'!G282="",0,1)+'Список деталей'!D282</f>
        <v>0</v>
      </c>
      <c r="U274" s="3" t="str">
        <f>IF(ISBLANK('Список деталей'!K282),"",'Список деталей'!K282)</f>
        <v/>
      </c>
      <c r="V274" s="3" t="str">
        <f>IF(AND('Список деталей'!C282&gt;849,'Список деталей'!D282&gt;849)=TRUE,1*'Список деталей'!E282,"")</f>
        <v/>
      </c>
    </row>
    <row r="275" spans="1:22" x14ac:dyDescent="0.45">
      <c r="A275" s="3" t="str">
        <f>IF(ISNUMBER('Список деталей'!A283), 'Список деталей'!A283, "")</f>
        <v/>
      </c>
      <c r="B275" s="30" t="str">
        <f>IF(ISBLANK('Список деталей'!B283),"",'Список деталей'!B283)</f>
        <v/>
      </c>
      <c r="C275" s="3" t="str">
        <f>IF(ISNUMBER('Список деталей'!C283), $W$4,"")</f>
        <v/>
      </c>
      <c r="D275" s="3" t="str">
        <f>IF(ISNUMBER('Список деталей'!C283), 'Список деталей'!$I$4,"")</f>
        <v/>
      </c>
      <c r="E275" s="24" t="str">
        <f>IF(ISNUMBER('Список деталей'!E283), 'Список деталей'!E283, "")</f>
        <v/>
      </c>
      <c r="F275" s="24" t="str">
        <f>IF(ISNUMBER('Список деталей'!C283), 'Список деталей'!C283, "")</f>
        <v/>
      </c>
      <c r="G275" s="24" t="str">
        <f>IF(ISNUMBER('Список деталей'!D283), 'Список деталей'!D283, "")</f>
        <v/>
      </c>
      <c r="H275" s="3" t="str">
        <f t="shared" si="4"/>
        <v xml:space="preserve">    </v>
      </c>
      <c r="I275" s="3" t="str">
        <f>IF(ISBLANK('Список деталей'!F283),"",VLOOKUP('Список деталей'!F283,обозначениКромки,4,0))</f>
        <v/>
      </c>
      <c r="J275" s="25" t="str">
        <f>IF(ISBLANK('Список деталей'!G283),"",VLOOKUP('Список деталей'!G283,обозначениКромки,4,0))</f>
        <v/>
      </c>
      <c r="K275" s="25" t="str">
        <f>IF(ISBLANK('Список деталей'!H283),"",VLOOKUP('Список деталей'!H283,обозначениКромки,4,0))</f>
        <v/>
      </c>
      <c r="L275" s="25" t="str">
        <f>IF(ISBLANK('Список деталей'!I283),"",VLOOKUP('Список деталей'!I283,обозначениКромки,4,0))</f>
        <v/>
      </c>
      <c r="M275" s="24" t="str">
        <f>IF(ISBLANK('Список деталей'!Y283),"",('Список деталей'!Y283))</f>
        <v/>
      </c>
      <c r="N275" s="3" t="str">
        <f>IF(ISBLANK('Список деталей'!Z283),"",('Список деталей'!Z283))</f>
        <v/>
      </c>
      <c r="O275" s="3" t="str">
        <f>IF(ISBLANK('Список деталей'!AA283),"",('Список деталей'!AA283))</f>
        <v/>
      </c>
      <c r="P275" s="3" t="str">
        <f>IF(ISBLANK('Список деталей'!AB283),"",('Список деталей'!AB283))</f>
        <v/>
      </c>
      <c r="Q275" s="45">
        <f>VLOOKUP(IF(ISBLANK('Список деталей'!H283)=TRUE,7,'Список деталей'!H283),кромка,2,0)+VLOOKUP(IF(ISBLANK('Список деталей'!I283)=TRUE,7,'Список деталей'!I283),кромка,2,0)+'Список деталей'!C283</f>
        <v>0</v>
      </c>
      <c r="R275" s="45">
        <f>VLOOKUP(IF(ISBLANK('Список деталей'!F283)=TRUE,7,'Список деталей'!F283),кромка,2,0)+VLOOKUP(IF(ISBLANK('Список деталей'!G283)=TRUE,7,'Список деталей'!G283),кромка,2,0)+'Список деталей'!D283</f>
        <v>0</v>
      </c>
      <c r="S275" s="42">
        <f>IF('Список деталей'!H283="",0,1)+IF('Список деталей'!I283="",0,1)+'Список деталей'!C283</f>
        <v>0</v>
      </c>
      <c r="T275" s="42">
        <f>IF('Список деталей'!F283="",0,1)+IF('Список деталей'!G283="",0,1)+'Список деталей'!D283</f>
        <v>0</v>
      </c>
      <c r="U275" s="3" t="str">
        <f>IF(ISBLANK('Список деталей'!K283),"",'Список деталей'!K283)</f>
        <v/>
      </c>
      <c r="V275" s="3" t="str">
        <f>IF(AND('Список деталей'!C283&gt;849,'Список деталей'!D283&gt;849)=TRUE,1*'Список деталей'!E283,"")</f>
        <v/>
      </c>
    </row>
    <row r="276" spans="1:22" x14ac:dyDescent="0.45">
      <c r="A276" s="3" t="str">
        <f>IF(ISNUMBER('Список деталей'!A284), 'Список деталей'!A284, "")</f>
        <v/>
      </c>
      <c r="B276" s="30" t="str">
        <f>IF(ISBLANK('Список деталей'!B284),"",'Список деталей'!B284)</f>
        <v/>
      </c>
      <c r="C276" s="3" t="str">
        <f>IF(ISNUMBER('Список деталей'!C284), $W$4,"")</f>
        <v/>
      </c>
      <c r="D276" s="3" t="str">
        <f>IF(ISNUMBER('Список деталей'!C284), 'Список деталей'!$I$4,"")</f>
        <v/>
      </c>
      <c r="E276" s="24" t="str">
        <f>IF(ISNUMBER('Список деталей'!E284), 'Список деталей'!E284, "")</f>
        <v/>
      </c>
      <c r="F276" s="24" t="str">
        <f>IF(ISNUMBER('Список деталей'!C284), 'Список деталей'!C284, "")</f>
        <v/>
      </c>
      <c r="G276" s="24" t="str">
        <f>IF(ISNUMBER('Список деталей'!D284), 'Список деталей'!D284, "")</f>
        <v/>
      </c>
      <c r="H276" s="3" t="str">
        <f t="shared" si="4"/>
        <v xml:space="preserve">    </v>
      </c>
      <c r="I276" s="3" t="str">
        <f>IF(ISBLANK('Список деталей'!F284),"",VLOOKUP('Список деталей'!F284,обозначениКромки,4,0))</f>
        <v/>
      </c>
      <c r="J276" s="25" t="str">
        <f>IF(ISBLANK('Список деталей'!G284),"",VLOOKUP('Список деталей'!G284,обозначениКромки,4,0))</f>
        <v/>
      </c>
      <c r="K276" s="25" t="str">
        <f>IF(ISBLANK('Список деталей'!H284),"",VLOOKUP('Список деталей'!H284,обозначениКромки,4,0))</f>
        <v/>
      </c>
      <c r="L276" s="25" t="str">
        <f>IF(ISBLANK('Список деталей'!I284),"",VLOOKUP('Список деталей'!I284,обозначениКромки,4,0))</f>
        <v/>
      </c>
      <c r="M276" s="24" t="str">
        <f>IF(ISBLANK('Список деталей'!Y284),"",('Список деталей'!Y284))</f>
        <v/>
      </c>
      <c r="N276" s="3" t="str">
        <f>IF(ISBLANK('Список деталей'!Z284),"",('Список деталей'!Z284))</f>
        <v/>
      </c>
      <c r="O276" s="3" t="str">
        <f>IF(ISBLANK('Список деталей'!AA284),"",('Список деталей'!AA284))</f>
        <v/>
      </c>
      <c r="P276" s="3" t="str">
        <f>IF(ISBLANK('Список деталей'!AB284),"",('Список деталей'!AB284))</f>
        <v/>
      </c>
      <c r="Q276" s="45">
        <f>VLOOKUP(IF(ISBLANK('Список деталей'!H284)=TRUE,7,'Список деталей'!H284),кромка,2,0)+VLOOKUP(IF(ISBLANK('Список деталей'!I284)=TRUE,7,'Список деталей'!I284),кромка,2,0)+'Список деталей'!C284</f>
        <v>0</v>
      </c>
      <c r="R276" s="45">
        <f>VLOOKUP(IF(ISBLANK('Список деталей'!F284)=TRUE,7,'Список деталей'!F284),кромка,2,0)+VLOOKUP(IF(ISBLANK('Список деталей'!G284)=TRUE,7,'Список деталей'!G284),кромка,2,0)+'Список деталей'!D284</f>
        <v>0</v>
      </c>
      <c r="S276" s="42">
        <f>IF('Список деталей'!H284="",0,1)+IF('Список деталей'!I284="",0,1)+'Список деталей'!C284</f>
        <v>0</v>
      </c>
      <c r="T276" s="42">
        <f>IF('Список деталей'!F284="",0,1)+IF('Список деталей'!G284="",0,1)+'Список деталей'!D284</f>
        <v>0</v>
      </c>
      <c r="U276" s="3" t="str">
        <f>IF(ISBLANK('Список деталей'!K284),"",'Список деталей'!K284)</f>
        <v/>
      </c>
      <c r="V276" s="3" t="str">
        <f>IF(AND('Список деталей'!C284&gt;849,'Список деталей'!D284&gt;849)=TRUE,1*'Список деталей'!E284,"")</f>
        <v/>
      </c>
    </row>
    <row r="277" spans="1:22" x14ac:dyDescent="0.45">
      <c r="A277" s="3" t="str">
        <f>IF(ISNUMBER('Список деталей'!A285), 'Список деталей'!A285, "")</f>
        <v/>
      </c>
      <c r="B277" s="30" t="str">
        <f>IF(ISBLANK('Список деталей'!B285),"",'Список деталей'!B285)</f>
        <v/>
      </c>
      <c r="C277" s="3" t="str">
        <f>IF(ISNUMBER('Список деталей'!C285), $W$4,"")</f>
        <v/>
      </c>
      <c r="D277" s="3" t="str">
        <f>IF(ISNUMBER('Список деталей'!C285), 'Список деталей'!$I$4,"")</f>
        <v/>
      </c>
      <c r="E277" s="24" t="str">
        <f>IF(ISNUMBER('Список деталей'!E285), 'Список деталей'!E285, "")</f>
        <v/>
      </c>
      <c r="F277" s="24" t="str">
        <f>IF(ISNUMBER('Список деталей'!C285), 'Список деталей'!C285, "")</f>
        <v/>
      </c>
      <c r="G277" s="24" t="str">
        <f>IF(ISNUMBER('Список деталей'!D285), 'Список деталей'!D285, "")</f>
        <v/>
      </c>
      <c r="H277" s="3" t="str">
        <f t="shared" si="4"/>
        <v xml:space="preserve">    </v>
      </c>
      <c r="I277" s="3" t="str">
        <f>IF(ISBLANK('Список деталей'!F285),"",VLOOKUP('Список деталей'!F285,обозначениКромки,4,0))</f>
        <v/>
      </c>
      <c r="J277" s="25" t="str">
        <f>IF(ISBLANK('Список деталей'!G285),"",VLOOKUP('Список деталей'!G285,обозначениКромки,4,0))</f>
        <v/>
      </c>
      <c r="K277" s="25" t="str">
        <f>IF(ISBLANK('Список деталей'!H285),"",VLOOKUP('Список деталей'!H285,обозначениКромки,4,0))</f>
        <v/>
      </c>
      <c r="L277" s="25" t="str">
        <f>IF(ISBLANK('Список деталей'!I285),"",VLOOKUP('Список деталей'!I285,обозначениКромки,4,0))</f>
        <v/>
      </c>
      <c r="M277" s="24" t="str">
        <f>IF(ISBLANK('Список деталей'!Y285),"",('Список деталей'!Y285))</f>
        <v/>
      </c>
      <c r="N277" s="3" t="str">
        <f>IF(ISBLANK('Список деталей'!Z285),"",('Список деталей'!Z285))</f>
        <v/>
      </c>
      <c r="O277" s="3" t="str">
        <f>IF(ISBLANK('Список деталей'!AA285),"",('Список деталей'!AA285))</f>
        <v/>
      </c>
      <c r="P277" s="3" t="str">
        <f>IF(ISBLANK('Список деталей'!AB285),"",('Список деталей'!AB285))</f>
        <v/>
      </c>
      <c r="Q277" s="45">
        <f>VLOOKUP(IF(ISBLANK('Список деталей'!H285)=TRUE,7,'Список деталей'!H285),кромка,2,0)+VLOOKUP(IF(ISBLANK('Список деталей'!I285)=TRUE,7,'Список деталей'!I285),кромка,2,0)+'Список деталей'!C285</f>
        <v>0</v>
      </c>
      <c r="R277" s="45">
        <f>VLOOKUP(IF(ISBLANK('Список деталей'!F285)=TRUE,7,'Список деталей'!F285),кромка,2,0)+VLOOKUP(IF(ISBLANK('Список деталей'!G285)=TRUE,7,'Список деталей'!G285),кромка,2,0)+'Список деталей'!D285</f>
        <v>0</v>
      </c>
      <c r="S277" s="42">
        <f>IF('Список деталей'!H285="",0,1)+IF('Список деталей'!I285="",0,1)+'Список деталей'!C285</f>
        <v>0</v>
      </c>
      <c r="T277" s="42">
        <f>IF('Список деталей'!F285="",0,1)+IF('Список деталей'!G285="",0,1)+'Список деталей'!D285</f>
        <v>0</v>
      </c>
      <c r="U277" s="3" t="str">
        <f>IF(ISBLANK('Список деталей'!K285),"",'Список деталей'!K285)</f>
        <v/>
      </c>
      <c r="V277" s="3" t="str">
        <f>IF(AND('Список деталей'!C285&gt;849,'Список деталей'!D285&gt;849)=TRUE,1*'Список деталей'!E285,"")</f>
        <v/>
      </c>
    </row>
    <row r="278" spans="1:22" x14ac:dyDescent="0.45">
      <c r="A278" s="3" t="str">
        <f>IF(ISNUMBER('Список деталей'!A286), 'Список деталей'!A286, "")</f>
        <v/>
      </c>
      <c r="B278" s="30" t="str">
        <f>IF(ISBLANK('Список деталей'!B286),"",'Список деталей'!B286)</f>
        <v/>
      </c>
      <c r="C278" s="3" t="str">
        <f>IF(ISNUMBER('Список деталей'!C286), $W$4,"")</f>
        <v/>
      </c>
      <c r="D278" s="3" t="str">
        <f>IF(ISNUMBER('Список деталей'!C286), 'Список деталей'!$I$4,"")</f>
        <v/>
      </c>
      <c r="E278" s="24" t="str">
        <f>IF(ISNUMBER('Список деталей'!E286), 'Список деталей'!E286, "")</f>
        <v/>
      </c>
      <c r="F278" s="24" t="str">
        <f>IF(ISNUMBER('Список деталей'!C286), 'Список деталей'!C286, "")</f>
        <v/>
      </c>
      <c r="G278" s="24" t="str">
        <f>IF(ISNUMBER('Список деталей'!D286), 'Список деталей'!D286, "")</f>
        <v/>
      </c>
      <c r="H278" s="3" t="str">
        <f t="shared" si="4"/>
        <v xml:space="preserve">    </v>
      </c>
      <c r="I278" s="3" t="str">
        <f>IF(ISBLANK('Список деталей'!F286),"",VLOOKUP('Список деталей'!F286,обозначениКромки,4,0))</f>
        <v/>
      </c>
      <c r="J278" s="25" t="str">
        <f>IF(ISBLANK('Список деталей'!G286),"",VLOOKUP('Список деталей'!G286,обозначениКромки,4,0))</f>
        <v/>
      </c>
      <c r="K278" s="25" t="str">
        <f>IF(ISBLANK('Список деталей'!H286),"",VLOOKUP('Список деталей'!H286,обозначениКромки,4,0))</f>
        <v/>
      </c>
      <c r="L278" s="25" t="str">
        <f>IF(ISBLANK('Список деталей'!I286),"",VLOOKUP('Список деталей'!I286,обозначениКромки,4,0))</f>
        <v/>
      </c>
      <c r="M278" s="24" t="str">
        <f>IF(ISBLANK('Список деталей'!Y286),"",('Список деталей'!Y286))</f>
        <v/>
      </c>
      <c r="N278" s="3" t="str">
        <f>IF(ISBLANK('Список деталей'!Z286),"",('Список деталей'!Z286))</f>
        <v/>
      </c>
      <c r="O278" s="3" t="str">
        <f>IF(ISBLANK('Список деталей'!AA286),"",('Список деталей'!AA286))</f>
        <v/>
      </c>
      <c r="P278" s="3" t="str">
        <f>IF(ISBLANK('Список деталей'!AB286),"",('Список деталей'!AB286))</f>
        <v/>
      </c>
      <c r="Q278" s="45">
        <f>VLOOKUP(IF(ISBLANK('Список деталей'!H286)=TRUE,7,'Список деталей'!H286),кромка,2,0)+VLOOKUP(IF(ISBLANK('Список деталей'!I286)=TRUE,7,'Список деталей'!I286),кромка,2,0)+'Список деталей'!C286</f>
        <v>0</v>
      </c>
      <c r="R278" s="45">
        <f>VLOOKUP(IF(ISBLANK('Список деталей'!F286)=TRUE,7,'Список деталей'!F286),кромка,2,0)+VLOOKUP(IF(ISBLANK('Список деталей'!G286)=TRUE,7,'Список деталей'!G286),кромка,2,0)+'Список деталей'!D286</f>
        <v>0</v>
      </c>
      <c r="S278" s="42">
        <f>IF('Список деталей'!H286="",0,1)+IF('Список деталей'!I286="",0,1)+'Список деталей'!C286</f>
        <v>0</v>
      </c>
      <c r="T278" s="42">
        <f>IF('Список деталей'!F286="",0,1)+IF('Список деталей'!G286="",0,1)+'Список деталей'!D286</f>
        <v>0</v>
      </c>
      <c r="U278" s="3" t="str">
        <f>IF(ISBLANK('Список деталей'!K286),"",'Список деталей'!K286)</f>
        <v/>
      </c>
      <c r="V278" s="3" t="str">
        <f>IF(AND('Список деталей'!C286&gt;849,'Список деталей'!D286&gt;849)=TRUE,1*'Список деталей'!E286,"")</f>
        <v/>
      </c>
    </row>
    <row r="279" spans="1:22" x14ac:dyDescent="0.45">
      <c r="A279" s="3" t="str">
        <f>IF(ISNUMBER('Список деталей'!A287), 'Список деталей'!A287, "")</f>
        <v/>
      </c>
      <c r="B279" s="30" t="str">
        <f>IF(ISBLANK('Список деталей'!B287),"",'Список деталей'!B287)</f>
        <v/>
      </c>
      <c r="C279" s="3" t="str">
        <f>IF(ISNUMBER('Список деталей'!C287), $W$4,"")</f>
        <v/>
      </c>
      <c r="D279" s="3" t="str">
        <f>IF(ISNUMBER('Список деталей'!C287), 'Список деталей'!$I$4,"")</f>
        <v/>
      </c>
      <c r="E279" s="24" t="str">
        <f>IF(ISNUMBER('Список деталей'!E287), 'Список деталей'!E287, "")</f>
        <v/>
      </c>
      <c r="F279" s="24" t="str">
        <f>IF(ISNUMBER('Список деталей'!C287), 'Список деталей'!C287, "")</f>
        <v/>
      </c>
      <c r="G279" s="24" t="str">
        <f>IF(ISNUMBER('Список деталей'!D287), 'Список деталей'!D287, "")</f>
        <v/>
      </c>
      <c r="H279" s="3" t="str">
        <f t="shared" si="4"/>
        <v xml:space="preserve">    </v>
      </c>
      <c r="I279" s="3" t="str">
        <f>IF(ISBLANK('Список деталей'!F287),"",VLOOKUP('Список деталей'!F287,обозначениКромки,4,0))</f>
        <v/>
      </c>
      <c r="J279" s="25" t="str">
        <f>IF(ISBLANK('Список деталей'!G287),"",VLOOKUP('Список деталей'!G287,обозначениКромки,4,0))</f>
        <v/>
      </c>
      <c r="K279" s="25" t="str">
        <f>IF(ISBLANK('Список деталей'!H287),"",VLOOKUP('Список деталей'!H287,обозначениКромки,4,0))</f>
        <v/>
      </c>
      <c r="L279" s="25" t="str">
        <f>IF(ISBLANK('Список деталей'!I287),"",VLOOKUP('Список деталей'!I287,обозначениКромки,4,0))</f>
        <v/>
      </c>
      <c r="M279" s="24" t="str">
        <f>IF(ISBLANK('Список деталей'!Y287),"",('Список деталей'!Y287))</f>
        <v/>
      </c>
      <c r="N279" s="3" t="str">
        <f>IF(ISBLANK('Список деталей'!Z287),"",('Список деталей'!Z287))</f>
        <v/>
      </c>
      <c r="O279" s="3" t="str">
        <f>IF(ISBLANK('Список деталей'!AA287),"",('Список деталей'!AA287))</f>
        <v/>
      </c>
      <c r="P279" s="3" t="str">
        <f>IF(ISBLANK('Список деталей'!AB287),"",('Список деталей'!AB287))</f>
        <v/>
      </c>
      <c r="Q279" s="45">
        <f>VLOOKUP(IF(ISBLANK('Список деталей'!H287)=TRUE,7,'Список деталей'!H287),кромка,2,0)+VLOOKUP(IF(ISBLANK('Список деталей'!I287)=TRUE,7,'Список деталей'!I287),кромка,2,0)+'Список деталей'!C287</f>
        <v>0</v>
      </c>
      <c r="R279" s="45">
        <f>VLOOKUP(IF(ISBLANK('Список деталей'!F287)=TRUE,7,'Список деталей'!F287),кромка,2,0)+VLOOKUP(IF(ISBLANK('Список деталей'!G287)=TRUE,7,'Список деталей'!G287),кромка,2,0)+'Список деталей'!D287</f>
        <v>0</v>
      </c>
      <c r="S279" s="42">
        <f>IF('Список деталей'!H287="",0,1)+IF('Список деталей'!I287="",0,1)+'Список деталей'!C287</f>
        <v>0</v>
      </c>
      <c r="T279" s="42">
        <f>IF('Список деталей'!F287="",0,1)+IF('Список деталей'!G287="",0,1)+'Список деталей'!D287</f>
        <v>0</v>
      </c>
      <c r="U279" s="3" t="str">
        <f>IF(ISBLANK('Список деталей'!K287),"",'Список деталей'!K287)</f>
        <v/>
      </c>
      <c r="V279" s="3" t="str">
        <f>IF(AND('Список деталей'!C287&gt;849,'Список деталей'!D287&gt;849)=TRUE,1*'Список деталей'!E287,"")</f>
        <v/>
      </c>
    </row>
    <row r="280" spans="1:22" x14ac:dyDescent="0.45">
      <c r="A280" s="3" t="str">
        <f>IF(ISNUMBER('Список деталей'!A288), 'Список деталей'!A288, "")</f>
        <v/>
      </c>
      <c r="B280" s="30" t="str">
        <f>IF(ISBLANK('Список деталей'!B288),"",'Список деталей'!B288)</f>
        <v/>
      </c>
      <c r="C280" s="3" t="str">
        <f>IF(ISNUMBER('Список деталей'!C288), $W$4,"")</f>
        <v/>
      </c>
      <c r="D280" s="3" t="str">
        <f>IF(ISNUMBER('Список деталей'!C288), 'Список деталей'!$I$4,"")</f>
        <v/>
      </c>
      <c r="E280" s="24" t="str">
        <f>IF(ISNUMBER('Список деталей'!E288), 'Список деталей'!E288, "")</f>
        <v/>
      </c>
      <c r="F280" s="24" t="str">
        <f>IF(ISNUMBER('Список деталей'!C288), 'Список деталей'!C288, "")</f>
        <v/>
      </c>
      <c r="G280" s="24" t="str">
        <f>IF(ISNUMBER('Список деталей'!D288), 'Список деталей'!D288, "")</f>
        <v/>
      </c>
      <c r="H280" s="3" t="str">
        <f t="shared" si="4"/>
        <v xml:space="preserve">    </v>
      </c>
      <c r="I280" s="3" t="str">
        <f>IF(ISBLANK('Список деталей'!F288),"",VLOOKUP('Список деталей'!F288,обозначениКромки,4,0))</f>
        <v/>
      </c>
      <c r="J280" s="25" t="str">
        <f>IF(ISBLANK('Список деталей'!G288),"",VLOOKUP('Список деталей'!G288,обозначениКромки,4,0))</f>
        <v/>
      </c>
      <c r="K280" s="25" t="str">
        <f>IF(ISBLANK('Список деталей'!H288),"",VLOOKUP('Список деталей'!H288,обозначениКромки,4,0))</f>
        <v/>
      </c>
      <c r="L280" s="25" t="str">
        <f>IF(ISBLANK('Список деталей'!I288),"",VLOOKUP('Список деталей'!I288,обозначениКромки,4,0))</f>
        <v/>
      </c>
      <c r="M280" s="24" t="str">
        <f>IF(ISBLANK('Список деталей'!Y288),"",('Список деталей'!Y288))</f>
        <v/>
      </c>
      <c r="N280" s="3" t="str">
        <f>IF(ISBLANK('Список деталей'!Z288),"",('Список деталей'!Z288))</f>
        <v/>
      </c>
      <c r="O280" s="3" t="str">
        <f>IF(ISBLANK('Список деталей'!AA288),"",('Список деталей'!AA288))</f>
        <v/>
      </c>
      <c r="P280" s="3" t="str">
        <f>IF(ISBLANK('Список деталей'!AB288),"",('Список деталей'!AB288))</f>
        <v/>
      </c>
      <c r="Q280" s="45">
        <f>VLOOKUP(IF(ISBLANK('Список деталей'!H288)=TRUE,7,'Список деталей'!H288),кромка,2,0)+VLOOKUP(IF(ISBLANK('Список деталей'!I288)=TRUE,7,'Список деталей'!I288),кромка,2,0)+'Список деталей'!C288</f>
        <v>0</v>
      </c>
      <c r="R280" s="45">
        <f>VLOOKUP(IF(ISBLANK('Список деталей'!F288)=TRUE,7,'Список деталей'!F288),кромка,2,0)+VLOOKUP(IF(ISBLANK('Список деталей'!G288)=TRUE,7,'Список деталей'!G288),кромка,2,0)+'Список деталей'!D288</f>
        <v>0</v>
      </c>
      <c r="S280" s="42">
        <f>IF('Список деталей'!H288="",0,1)+IF('Список деталей'!I288="",0,1)+'Список деталей'!C288</f>
        <v>0</v>
      </c>
      <c r="T280" s="42">
        <f>IF('Список деталей'!F288="",0,1)+IF('Список деталей'!G288="",0,1)+'Список деталей'!D288</f>
        <v>0</v>
      </c>
      <c r="U280" s="3" t="str">
        <f>IF(ISBLANK('Список деталей'!K288),"",'Список деталей'!K288)</f>
        <v/>
      </c>
      <c r="V280" s="3" t="str">
        <f>IF(AND('Список деталей'!C288&gt;849,'Список деталей'!D288&gt;849)=TRUE,1*'Список деталей'!E288,"")</f>
        <v/>
      </c>
    </row>
    <row r="281" spans="1:22" x14ac:dyDescent="0.45">
      <c r="A281" s="3" t="str">
        <f>IF(ISNUMBER('Список деталей'!A289), 'Список деталей'!A289, "")</f>
        <v/>
      </c>
      <c r="B281" s="30" t="str">
        <f>IF(ISBLANK('Список деталей'!B289),"",'Список деталей'!B289)</f>
        <v/>
      </c>
      <c r="C281" s="3" t="str">
        <f>IF(ISNUMBER('Список деталей'!C289), $W$4,"")</f>
        <v/>
      </c>
      <c r="D281" s="3" t="str">
        <f>IF(ISNUMBER('Список деталей'!C289), 'Список деталей'!$I$4,"")</f>
        <v/>
      </c>
      <c r="E281" s="24" t="str">
        <f>IF(ISNUMBER('Список деталей'!E289), 'Список деталей'!E289, "")</f>
        <v/>
      </c>
      <c r="F281" s="24" t="str">
        <f>IF(ISNUMBER('Список деталей'!C289), 'Список деталей'!C289, "")</f>
        <v/>
      </c>
      <c r="G281" s="24" t="str">
        <f>IF(ISNUMBER('Список деталей'!D289), 'Список деталей'!D289, "")</f>
        <v/>
      </c>
      <c r="H281" s="3" t="str">
        <f t="shared" si="4"/>
        <v xml:space="preserve">    </v>
      </c>
      <c r="I281" s="3" t="str">
        <f>IF(ISBLANK('Список деталей'!F289),"",VLOOKUP('Список деталей'!F289,обозначениКромки,4,0))</f>
        <v/>
      </c>
      <c r="J281" s="25" t="str">
        <f>IF(ISBLANK('Список деталей'!G289),"",VLOOKUP('Список деталей'!G289,обозначениКромки,4,0))</f>
        <v/>
      </c>
      <c r="K281" s="25" t="str">
        <f>IF(ISBLANK('Список деталей'!H289),"",VLOOKUP('Список деталей'!H289,обозначениКромки,4,0))</f>
        <v/>
      </c>
      <c r="L281" s="25" t="str">
        <f>IF(ISBLANK('Список деталей'!I289),"",VLOOKUP('Список деталей'!I289,обозначениКромки,4,0))</f>
        <v/>
      </c>
      <c r="M281" s="24" t="str">
        <f>IF(ISBLANK('Список деталей'!Y289),"",('Список деталей'!Y289))</f>
        <v/>
      </c>
      <c r="N281" s="3" t="str">
        <f>IF(ISBLANK('Список деталей'!Z289),"",('Список деталей'!Z289))</f>
        <v/>
      </c>
      <c r="O281" s="3" t="str">
        <f>IF(ISBLANK('Список деталей'!AA289),"",('Список деталей'!AA289))</f>
        <v/>
      </c>
      <c r="P281" s="3" t="str">
        <f>IF(ISBLANK('Список деталей'!AB289),"",('Список деталей'!AB289))</f>
        <v/>
      </c>
      <c r="Q281" s="45">
        <f>VLOOKUP(IF(ISBLANK('Список деталей'!H289)=TRUE,7,'Список деталей'!H289),кромка,2,0)+VLOOKUP(IF(ISBLANK('Список деталей'!I289)=TRUE,7,'Список деталей'!I289),кромка,2,0)+'Список деталей'!C289</f>
        <v>0</v>
      </c>
      <c r="R281" s="45">
        <f>VLOOKUP(IF(ISBLANK('Список деталей'!F289)=TRUE,7,'Список деталей'!F289),кромка,2,0)+VLOOKUP(IF(ISBLANK('Список деталей'!G289)=TRUE,7,'Список деталей'!G289),кромка,2,0)+'Список деталей'!D289</f>
        <v>0</v>
      </c>
      <c r="S281" s="42">
        <f>IF('Список деталей'!H289="",0,1)+IF('Список деталей'!I289="",0,1)+'Список деталей'!C289</f>
        <v>0</v>
      </c>
      <c r="T281" s="42">
        <f>IF('Список деталей'!F289="",0,1)+IF('Список деталей'!G289="",0,1)+'Список деталей'!D289</f>
        <v>0</v>
      </c>
      <c r="U281" s="3" t="str">
        <f>IF(ISBLANK('Список деталей'!K289),"",'Список деталей'!K289)</f>
        <v/>
      </c>
      <c r="V281" s="3" t="str">
        <f>IF(AND('Список деталей'!C289&gt;849,'Список деталей'!D289&gt;849)=TRUE,1*'Список деталей'!E289,"")</f>
        <v/>
      </c>
    </row>
    <row r="282" spans="1:22" x14ac:dyDescent="0.45">
      <c r="A282" s="3" t="str">
        <f>IF(ISNUMBER('Список деталей'!A290), 'Список деталей'!A290, "")</f>
        <v/>
      </c>
      <c r="B282" s="30" t="str">
        <f>IF(ISBLANK('Список деталей'!B290),"",'Список деталей'!B290)</f>
        <v/>
      </c>
      <c r="C282" s="3" t="str">
        <f>IF(ISNUMBER('Список деталей'!C290), $W$4,"")</f>
        <v/>
      </c>
      <c r="D282" s="3" t="str">
        <f>IF(ISNUMBER('Список деталей'!C290), 'Список деталей'!$I$4,"")</f>
        <v/>
      </c>
      <c r="E282" s="24" t="str">
        <f>IF(ISNUMBER('Список деталей'!E290), 'Список деталей'!E290, "")</f>
        <v/>
      </c>
      <c r="F282" s="24" t="str">
        <f>IF(ISNUMBER('Список деталей'!C290), 'Список деталей'!C290, "")</f>
        <v/>
      </c>
      <c r="G282" s="24" t="str">
        <f>IF(ISNUMBER('Список деталей'!D290), 'Список деталей'!D290, "")</f>
        <v/>
      </c>
      <c r="H282" s="3" t="str">
        <f t="shared" si="4"/>
        <v xml:space="preserve">    </v>
      </c>
      <c r="I282" s="3" t="str">
        <f>IF(ISBLANK('Список деталей'!F290),"",VLOOKUP('Список деталей'!F290,обозначениКромки,4,0))</f>
        <v/>
      </c>
      <c r="J282" s="25" t="str">
        <f>IF(ISBLANK('Список деталей'!G290),"",VLOOKUP('Список деталей'!G290,обозначениКромки,4,0))</f>
        <v/>
      </c>
      <c r="K282" s="25" t="str">
        <f>IF(ISBLANK('Список деталей'!H290),"",VLOOKUP('Список деталей'!H290,обозначениКромки,4,0))</f>
        <v/>
      </c>
      <c r="L282" s="25" t="str">
        <f>IF(ISBLANK('Список деталей'!I290),"",VLOOKUP('Список деталей'!I290,обозначениКромки,4,0))</f>
        <v/>
      </c>
      <c r="M282" s="24" t="str">
        <f>IF(ISBLANK('Список деталей'!Y290),"",('Список деталей'!Y290))</f>
        <v/>
      </c>
      <c r="N282" s="3" t="str">
        <f>IF(ISBLANK('Список деталей'!Z290),"",('Список деталей'!Z290))</f>
        <v/>
      </c>
      <c r="O282" s="3" t="str">
        <f>IF(ISBLANK('Список деталей'!AA290),"",('Список деталей'!AA290))</f>
        <v/>
      </c>
      <c r="P282" s="3" t="str">
        <f>IF(ISBLANK('Список деталей'!AB290),"",('Список деталей'!AB290))</f>
        <v/>
      </c>
      <c r="Q282" s="45">
        <f>VLOOKUP(IF(ISBLANK('Список деталей'!H290)=TRUE,7,'Список деталей'!H290),кромка,2,0)+VLOOKUP(IF(ISBLANK('Список деталей'!I290)=TRUE,7,'Список деталей'!I290),кромка,2,0)+'Список деталей'!C290</f>
        <v>0</v>
      </c>
      <c r="R282" s="45">
        <f>VLOOKUP(IF(ISBLANK('Список деталей'!F290)=TRUE,7,'Список деталей'!F290),кромка,2,0)+VLOOKUP(IF(ISBLANK('Список деталей'!G290)=TRUE,7,'Список деталей'!G290),кромка,2,0)+'Список деталей'!D290</f>
        <v>0</v>
      </c>
      <c r="S282" s="42">
        <f>IF('Список деталей'!H290="",0,1)+IF('Список деталей'!I290="",0,1)+'Список деталей'!C290</f>
        <v>0</v>
      </c>
      <c r="T282" s="42">
        <f>IF('Список деталей'!F290="",0,1)+IF('Список деталей'!G290="",0,1)+'Список деталей'!D290</f>
        <v>0</v>
      </c>
      <c r="U282" s="3" t="str">
        <f>IF(ISBLANK('Список деталей'!K290),"",'Список деталей'!K290)</f>
        <v/>
      </c>
      <c r="V282" s="3" t="str">
        <f>IF(AND('Список деталей'!C290&gt;849,'Список деталей'!D290&gt;849)=TRUE,1*'Список деталей'!E290,"")</f>
        <v/>
      </c>
    </row>
    <row r="283" spans="1:22" x14ac:dyDescent="0.45">
      <c r="A283" s="3" t="str">
        <f>IF(ISNUMBER('Список деталей'!A291), 'Список деталей'!A291, "")</f>
        <v/>
      </c>
      <c r="B283" s="30" t="str">
        <f>IF(ISBLANK('Список деталей'!B291),"",'Список деталей'!B291)</f>
        <v/>
      </c>
      <c r="C283" s="3" t="str">
        <f>IF(ISNUMBER('Список деталей'!C291), $W$4,"")</f>
        <v/>
      </c>
      <c r="D283" s="3" t="str">
        <f>IF(ISNUMBER('Список деталей'!C291), 'Список деталей'!$I$4,"")</f>
        <v/>
      </c>
      <c r="E283" s="24" t="str">
        <f>IF(ISNUMBER('Список деталей'!E291), 'Список деталей'!E291, "")</f>
        <v/>
      </c>
      <c r="F283" s="24" t="str">
        <f>IF(ISNUMBER('Список деталей'!C291), 'Список деталей'!C291, "")</f>
        <v/>
      </c>
      <c r="G283" s="24" t="str">
        <f>IF(ISNUMBER('Список деталей'!D291), 'Список деталей'!D291, "")</f>
        <v/>
      </c>
      <c r="H283" s="3" t="str">
        <f t="shared" si="4"/>
        <v xml:space="preserve">    </v>
      </c>
      <c r="I283" s="3" t="str">
        <f>IF(ISBLANK('Список деталей'!F291),"",VLOOKUP('Список деталей'!F291,обозначениКромки,4,0))</f>
        <v/>
      </c>
      <c r="J283" s="25" t="str">
        <f>IF(ISBLANK('Список деталей'!G291),"",VLOOKUP('Список деталей'!G291,обозначениКромки,4,0))</f>
        <v/>
      </c>
      <c r="K283" s="25" t="str">
        <f>IF(ISBLANK('Список деталей'!H291),"",VLOOKUP('Список деталей'!H291,обозначениКромки,4,0))</f>
        <v/>
      </c>
      <c r="L283" s="25" t="str">
        <f>IF(ISBLANK('Список деталей'!I291),"",VLOOKUP('Список деталей'!I291,обозначениКромки,4,0))</f>
        <v/>
      </c>
      <c r="M283" s="24" t="str">
        <f>IF(ISBLANK('Список деталей'!Y291),"",('Список деталей'!Y291))</f>
        <v/>
      </c>
      <c r="N283" s="3" t="str">
        <f>IF(ISBLANK('Список деталей'!Z291),"",('Список деталей'!Z291))</f>
        <v/>
      </c>
      <c r="O283" s="3" t="str">
        <f>IF(ISBLANK('Список деталей'!AA291),"",('Список деталей'!AA291))</f>
        <v/>
      </c>
      <c r="P283" s="3" t="str">
        <f>IF(ISBLANK('Список деталей'!AB291),"",('Список деталей'!AB291))</f>
        <v/>
      </c>
      <c r="Q283" s="45">
        <f>VLOOKUP(IF(ISBLANK('Список деталей'!H291)=TRUE,7,'Список деталей'!H291),кромка,2,0)+VLOOKUP(IF(ISBLANK('Список деталей'!I291)=TRUE,7,'Список деталей'!I291),кромка,2,0)+'Список деталей'!C291</f>
        <v>0</v>
      </c>
      <c r="R283" s="45">
        <f>VLOOKUP(IF(ISBLANK('Список деталей'!F291)=TRUE,7,'Список деталей'!F291),кромка,2,0)+VLOOKUP(IF(ISBLANK('Список деталей'!G291)=TRUE,7,'Список деталей'!G291),кромка,2,0)+'Список деталей'!D291</f>
        <v>0</v>
      </c>
      <c r="S283" s="42">
        <f>IF('Список деталей'!H291="",0,1)+IF('Список деталей'!I291="",0,1)+'Список деталей'!C291</f>
        <v>0</v>
      </c>
      <c r="T283" s="42">
        <f>IF('Список деталей'!F291="",0,1)+IF('Список деталей'!G291="",0,1)+'Список деталей'!D291</f>
        <v>0</v>
      </c>
      <c r="U283" s="3" t="str">
        <f>IF(ISBLANK('Список деталей'!K291),"",'Список деталей'!K291)</f>
        <v/>
      </c>
      <c r="V283" s="3" t="str">
        <f>IF(AND('Список деталей'!C291&gt;849,'Список деталей'!D291&gt;849)=TRUE,1*'Список деталей'!E291,"")</f>
        <v/>
      </c>
    </row>
    <row r="284" spans="1:22" x14ac:dyDescent="0.45">
      <c r="A284" s="3" t="str">
        <f>IF(ISNUMBER('Список деталей'!A292), 'Список деталей'!A292, "")</f>
        <v/>
      </c>
      <c r="B284" s="30" t="str">
        <f>IF(ISBLANK('Список деталей'!B292),"",'Список деталей'!B292)</f>
        <v/>
      </c>
      <c r="C284" s="3" t="str">
        <f>IF(ISNUMBER('Список деталей'!C292), $W$4,"")</f>
        <v/>
      </c>
      <c r="D284" s="3" t="str">
        <f>IF(ISNUMBER('Список деталей'!C292), 'Список деталей'!$I$4,"")</f>
        <v/>
      </c>
      <c r="E284" s="24" t="str">
        <f>IF(ISNUMBER('Список деталей'!E292), 'Список деталей'!E292, "")</f>
        <v/>
      </c>
      <c r="F284" s="24" t="str">
        <f>IF(ISNUMBER('Список деталей'!C292), 'Список деталей'!C292, "")</f>
        <v/>
      </c>
      <c r="G284" s="24" t="str">
        <f>IF(ISNUMBER('Список деталей'!D292), 'Список деталей'!D292, "")</f>
        <v/>
      </c>
      <c r="H284" s="3" t="str">
        <f t="shared" si="4"/>
        <v xml:space="preserve">    </v>
      </c>
      <c r="I284" s="3" t="str">
        <f>IF(ISBLANK('Список деталей'!F292),"",VLOOKUP('Список деталей'!F292,обозначениКромки,4,0))</f>
        <v/>
      </c>
      <c r="J284" s="25" t="str">
        <f>IF(ISBLANK('Список деталей'!G292),"",VLOOKUP('Список деталей'!G292,обозначениКромки,4,0))</f>
        <v/>
      </c>
      <c r="K284" s="25" t="str">
        <f>IF(ISBLANK('Список деталей'!H292),"",VLOOKUP('Список деталей'!H292,обозначениКромки,4,0))</f>
        <v/>
      </c>
      <c r="L284" s="25" t="str">
        <f>IF(ISBLANK('Список деталей'!I292),"",VLOOKUP('Список деталей'!I292,обозначениКромки,4,0))</f>
        <v/>
      </c>
      <c r="M284" s="24" t="str">
        <f>IF(ISBLANK('Список деталей'!Y292),"",('Список деталей'!Y292))</f>
        <v/>
      </c>
      <c r="N284" s="3" t="str">
        <f>IF(ISBLANK('Список деталей'!Z292),"",('Список деталей'!Z292))</f>
        <v/>
      </c>
      <c r="O284" s="3" t="str">
        <f>IF(ISBLANK('Список деталей'!AA292),"",('Список деталей'!AA292))</f>
        <v/>
      </c>
      <c r="P284" s="3" t="str">
        <f>IF(ISBLANK('Список деталей'!AB292),"",('Список деталей'!AB292))</f>
        <v/>
      </c>
      <c r="Q284" s="45">
        <f>VLOOKUP(IF(ISBLANK('Список деталей'!H292)=TRUE,7,'Список деталей'!H292),кромка,2,0)+VLOOKUP(IF(ISBLANK('Список деталей'!I292)=TRUE,7,'Список деталей'!I292),кромка,2,0)+'Список деталей'!C292</f>
        <v>0</v>
      </c>
      <c r="R284" s="45">
        <f>VLOOKUP(IF(ISBLANK('Список деталей'!F292)=TRUE,7,'Список деталей'!F292),кромка,2,0)+VLOOKUP(IF(ISBLANK('Список деталей'!G292)=TRUE,7,'Список деталей'!G292),кромка,2,0)+'Список деталей'!D292</f>
        <v>0</v>
      </c>
      <c r="S284" s="42">
        <f>IF('Список деталей'!H292="",0,1)+IF('Список деталей'!I292="",0,1)+'Список деталей'!C292</f>
        <v>0</v>
      </c>
      <c r="T284" s="42">
        <f>IF('Список деталей'!F292="",0,1)+IF('Список деталей'!G292="",0,1)+'Список деталей'!D292</f>
        <v>0</v>
      </c>
      <c r="U284" s="3" t="str">
        <f>IF(ISBLANK('Список деталей'!K292),"",'Список деталей'!K292)</f>
        <v/>
      </c>
      <c r="V284" s="3" t="str">
        <f>IF(AND('Список деталей'!C292&gt;849,'Список деталей'!D292&gt;849)=TRUE,1*'Список деталей'!E292,"")</f>
        <v/>
      </c>
    </row>
    <row r="285" spans="1:22" x14ac:dyDescent="0.45">
      <c r="A285" s="3" t="str">
        <f>IF(ISNUMBER('Список деталей'!A293), 'Список деталей'!A293, "")</f>
        <v/>
      </c>
      <c r="B285" s="30" t="str">
        <f>IF(ISBLANK('Список деталей'!B293),"",'Список деталей'!B293)</f>
        <v/>
      </c>
      <c r="C285" s="3" t="str">
        <f>IF(ISNUMBER('Список деталей'!C293), $W$4,"")</f>
        <v/>
      </c>
      <c r="D285" s="3" t="str">
        <f>IF(ISNUMBER('Список деталей'!C293), 'Список деталей'!$I$4,"")</f>
        <v/>
      </c>
      <c r="E285" s="24" t="str">
        <f>IF(ISNUMBER('Список деталей'!E293), 'Список деталей'!E293, "")</f>
        <v/>
      </c>
      <c r="F285" s="24" t="str">
        <f>IF(ISNUMBER('Список деталей'!C293), 'Список деталей'!C293, "")</f>
        <v/>
      </c>
      <c r="G285" s="24" t="str">
        <f>IF(ISNUMBER('Список деталей'!D293), 'Список деталей'!D293, "")</f>
        <v/>
      </c>
      <c r="H285" s="3" t="str">
        <f t="shared" si="4"/>
        <v xml:space="preserve">    </v>
      </c>
      <c r="I285" s="3" t="str">
        <f>IF(ISBLANK('Список деталей'!F293),"",VLOOKUP('Список деталей'!F293,обозначениКромки,4,0))</f>
        <v/>
      </c>
      <c r="J285" s="25" t="str">
        <f>IF(ISBLANK('Список деталей'!G293),"",VLOOKUP('Список деталей'!G293,обозначениКромки,4,0))</f>
        <v/>
      </c>
      <c r="K285" s="25" t="str">
        <f>IF(ISBLANK('Список деталей'!H293),"",VLOOKUP('Список деталей'!H293,обозначениКромки,4,0))</f>
        <v/>
      </c>
      <c r="L285" s="25" t="str">
        <f>IF(ISBLANK('Список деталей'!I293),"",VLOOKUP('Список деталей'!I293,обозначениКромки,4,0))</f>
        <v/>
      </c>
      <c r="M285" s="24" t="str">
        <f>IF(ISBLANK('Список деталей'!Y293),"",('Список деталей'!Y293))</f>
        <v/>
      </c>
      <c r="N285" s="3" t="str">
        <f>IF(ISBLANK('Список деталей'!Z293),"",('Список деталей'!Z293))</f>
        <v/>
      </c>
      <c r="O285" s="3" t="str">
        <f>IF(ISBLANK('Список деталей'!AA293),"",('Список деталей'!AA293))</f>
        <v/>
      </c>
      <c r="P285" s="3" t="str">
        <f>IF(ISBLANK('Список деталей'!AB293),"",('Список деталей'!AB293))</f>
        <v/>
      </c>
      <c r="Q285" s="45">
        <f>VLOOKUP(IF(ISBLANK('Список деталей'!H293)=TRUE,7,'Список деталей'!H293),кромка,2,0)+VLOOKUP(IF(ISBLANK('Список деталей'!I293)=TRUE,7,'Список деталей'!I293),кромка,2,0)+'Список деталей'!C293</f>
        <v>0</v>
      </c>
      <c r="R285" s="45">
        <f>VLOOKUP(IF(ISBLANK('Список деталей'!F293)=TRUE,7,'Список деталей'!F293),кромка,2,0)+VLOOKUP(IF(ISBLANK('Список деталей'!G293)=TRUE,7,'Список деталей'!G293),кромка,2,0)+'Список деталей'!D293</f>
        <v>0</v>
      </c>
      <c r="S285" s="42">
        <f>IF('Список деталей'!H293="",0,1)+IF('Список деталей'!I293="",0,1)+'Список деталей'!C293</f>
        <v>0</v>
      </c>
      <c r="T285" s="42">
        <f>IF('Список деталей'!F293="",0,1)+IF('Список деталей'!G293="",0,1)+'Список деталей'!D293</f>
        <v>0</v>
      </c>
      <c r="U285" s="3" t="str">
        <f>IF(ISBLANK('Список деталей'!K293),"",'Список деталей'!K293)</f>
        <v/>
      </c>
      <c r="V285" s="3" t="str">
        <f>IF(AND('Список деталей'!C293&gt;849,'Список деталей'!D293&gt;849)=TRUE,1*'Список деталей'!E293,"")</f>
        <v/>
      </c>
    </row>
    <row r="286" spans="1:22" x14ac:dyDescent="0.45">
      <c r="A286" s="3" t="str">
        <f>IF(ISNUMBER('Список деталей'!A294), 'Список деталей'!A294, "")</f>
        <v/>
      </c>
      <c r="B286" s="30" t="str">
        <f>IF(ISBLANK('Список деталей'!B294),"",'Список деталей'!B294)</f>
        <v/>
      </c>
      <c r="C286" s="3" t="str">
        <f>IF(ISNUMBER('Список деталей'!C294), $W$4,"")</f>
        <v/>
      </c>
      <c r="D286" s="3" t="str">
        <f>IF(ISNUMBER('Список деталей'!C294), 'Список деталей'!$I$4,"")</f>
        <v/>
      </c>
      <c r="E286" s="24" t="str">
        <f>IF(ISNUMBER('Список деталей'!E294), 'Список деталей'!E294, "")</f>
        <v/>
      </c>
      <c r="F286" s="24" t="str">
        <f>IF(ISNUMBER('Список деталей'!C294), 'Список деталей'!C294, "")</f>
        <v/>
      </c>
      <c r="G286" s="24" t="str">
        <f>IF(ISNUMBER('Список деталей'!D294), 'Список деталей'!D294, "")</f>
        <v/>
      </c>
      <c r="H286" s="3" t="str">
        <f t="shared" si="4"/>
        <v xml:space="preserve">    </v>
      </c>
      <c r="I286" s="3" t="str">
        <f>IF(ISBLANK('Список деталей'!F294),"",VLOOKUP('Список деталей'!F294,обозначениКромки,4,0))</f>
        <v/>
      </c>
      <c r="J286" s="25" t="str">
        <f>IF(ISBLANK('Список деталей'!G294),"",VLOOKUP('Список деталей'!G294,обозначениКромки,4,0))</f>
        <v/>
      </c>
      <c r="K286" s="25" t="str">
        <f>IF(ISBLANK('Список деталей'!H294),"",VLOOKUP('Список деталей'!H294,обозначениКромки,4,0))</f>
        <v/>
      </c>
      <c r="L286" s="25" t="str">
        <f>IF(ISBLANK('Список деталей'!I294),"",VLOOKUP('Список деталей'!I294,обозначениКромки,4,0))</f>
        <v/>
      </c>
      <c r="M286" s="24" t="str">
        <f>IF(ISBLANK('Список деталей'!Y294),"",('Список деталей'!Y294))</f>
        <v/>
      </c>
      <c r="N286" s="3" t="str">
        <f>IF(ISBLANK('Список деталей'!Z294),"",('Список деталей'!Z294))</f>
        <v/>
      </c>
      <c r="O286" s="3" t="str">
        <f>IF(ISBLANK('Список деталей'!AA294),"",('Список деталей'!AA294))</f>
        <v/>
      </c>
      <c r="P286" s="3" t="str">
        <f>IF(ISBLANK('Список деталей'!AB294),"",('Список деталей'!AB294))</f>
        <v/>
      </c>
      <c r="Q286" s="45">
        <f>VLOOKUP(IF(ISBLANK('Список деталей'!H294)=TRUE,7,'Список деталей'!H294),кромка,2,0)+VLOOKUP(IF(ISBLANK('Список деталей'!I294)=TRUE,7,'Список деталей'!I294),кромка,2,0)+'Список деталей'!C294</f>
        <v>0</v>
      </c>
      <c r="R286" s="45">
        <f>VLOOKUP(IF(ISBLANK('Список деталей'!F294)=TRUE,7,'Список деталей'!F294),кромка,2,0)+VLOOKUP(IF(ISBLANK('Список деталей'!G294)=TRUE,7,'Список деталей'!G294),кромка,2,0)+'Список деталей'!D294</f>
        <v>0</v>
      </c>
      <c r="S286" s="42">
        <f>IF('Список деталей'!H294="",0,1)+IF('Список деталей'!I294="",0,1)+'Список деталей'!C294</f>
        <v>0</v>
      </c>
      <c r="T286" s="42">
        <f>IF('Список деталей'!F294="",0,1)+IF('Список деталей'!G294="",0,1)+'Список деталей'!D294</f>
        <v>0</v>
      </c>
      <c r="U286" s="3" t="str">
        <f>IF(ISBLANK('Список деталей'!K294),"",'Список деталей'!K294)</f>
        <v/>
      </c>
      <c r="V286" s="3" t="str">
        <f>IF(AND('Список деталей'!C294&gt;849,'Список деталей'!D294&gt;849)=TRUE,1*'Список деталей'!E294,"")</f>
        <v/>
      </c>
    </row>
    <row r="287" spans="1:22" x14ac:dyDescent="0.45">
      <c r="A287" s="3" t="str">
        <f>IF(ISNUMBER('Список деталей'!A295), 'Список деталей'!A295, "")</f>
        <v/>
      </c>
      <c r="B287" s="30" t="str">
        <f>IF(ISBLANK('Список деталей'!B295),"",'Список деталей'!B295)</f>
        <v/>
      </c>
      <c r="C287" s="3" t="str">
        <f>IF(ISNUMBER('Список деталей'!C295), $W$4,"")</f>
        <v/>
      </c>
      <c r="D287" s="3" t="str">
        <f>IF(ISNUMBER('Список деталей'!C295), 'Список деталей'!$I$4,"")</f>
        <v/>
      </c>
      <c r="E287" s="24" t="str">
        <f>IF(ISNUMBER('Список деталей'!E295), 'Список деталей'!E295, "")</f>
        <v/>
      </c>
      <c r="F287" s="24" t="str">
        <f>IF(ISNUMBER('Список деталей'!C295), 'Список деталей'!C295, "")</f>
        <v/>
      </c>
      <c r="G287" s="24" t="str">
        <f>IF(ISNUMBER('Список деталей'!D295), 'Список деталей'!D295, "")</f>
        <v/>
      </c>
      <c r="H287" s="3" t="str">
        <f t="shared" si="4"/>
        <v xml:space="preserve">    </v>
      </c>
      <c r="I287" s="3" t="str">
        <f>IF(ISBLANK('Список деталей'!F295),"",VLOOKUP('Список деталей'!F295,обозначениКромки,4,0))</f>
        <v/>
      </c>
      <c r="J287" s="25" t="str">
        <f>IF(ISBLANK('Список деталей'!G295),"",VLOOKUP('Список деталей'!G295,обозначениКромки,4,0))</f>
        <v/>
      </c>
      <c r="K287" s="25" t="str">
        <f>IF(ISBLANK('Список деталей'!H295),"",VLOOKUP('Список деталей'!H295,обозначениКромки,4,0))</f>
        <v/>
      </c>
      <c r="L287" s="25" t="str">
        <f>IF(ISBLANK('Список деталей'!I295),"",VLOOKUP('Список деталей'!I295,обозначениКромки,4,0))</f>
        <v/>
      </c>
      <c r="M287" s="24" t="str">
        <f>IF(ISBLANK('Список деталей'!Y295),"",('Список деталей'!Y295))</f>
        <v/>
      </c>
      <c r="N287" s="3" t="str">
        <f>IF(ISBLANK('Список деталей'!Z295),"",('Список деталей'!Z295))</f>
        <v/>
      </c>
      <c r="O287" s="3" t="str">
        <f>IF(ISBLANK('Список деталей'!AA295),"",('Список деталей'!AA295))</f>
        <v/>
      </c>
      <c r="P287" s="3" t="str">
        <f>IF(ISBLANK('Список деталей'!AB295),"",('Список деталей'!AB295))</f>
        <v/>
      </c>
      <c r="Q287" s="45">
        <f>VLOOKUP(IF(ISBLANK('Список деталей'!H295)=TRUE,7,'Список деталей'!H295),кромка,2,0)+VLOOKUP(IF(ISBLANK('Список деталей'!I295)=TRUE,7,'Список деталей'!I295),кромка,2,0)+'Список деталей'!C295</f>
        <v>0</v>
      </c>
      <c r="R287" s="45">
        <f>VLOOKUP(IF(ISBLANK('Список деталей'!F295)=TRUE,7,'Список деталей'!F295),кромка,2,0)+VLOOKUP(IF(ISBLANK('Список деталей'!G295)=TRUE,7,'Список деталей'!G295),кромка,2,0)+'Список деталей'!D295</f>
        <v>0</v>
      </c>
      <c r="S287" s="42">
        <f>IF('Список деталей'!H295="",0,1)+IF('Список деталей'!I295="",0,1)+'Список деталей'!C295</f>
        <v>0</v>
      </c>
      <c r="T287" s="42">
        <f>IF('Список деталей'!F295="",0,1)+IF('Список деталей'!G295="",0,1)+'Список деталей'!D295</f>
        <v>0</v>
      </c>
      <c r="U287" s="3" t="str">
        <f>IF(ISBLANK('Список деталей'!K295),"",'Список деталей'!K295)</f>
        <v/>
      </c>
      <c r="V287" s="3" t="str">
        <f>IF(AND('Список деталей'!C295&gt;849,'Список деталей'!D295&gt;849)=TRUE,1*'Список деталей'!E295,"")</f>
        <v/>
      </c>
    </row>
    <row r="288" spans="1:22" x14ac:dyDescent="0.45">
      <c r="A288" s="3" t="str">
        <f>IF(ISNUMBER('Список деталей'!A296), 'Список деталей'!A296, "")</f>
        <v/>
      </c>
      <c r="B288" s="30" t="str">
        <f>IF(ISBLANK('Список деталей'!B296),"",'Список деталей'!B296)</f>
        <v/>
      </c>
      <c r="C288" s="3" t="str">
        <f>IF(ISNUMBER('Список деталей'!C296), $W$4,"")</f>
        <v/>
      </c>
      <c r="D288" s="3" t="str">
        <f>IF(ISNUMBER('Список деталей'!C296), 'Список деталей'!$I$4,"")</f>
        <v/>
      </c>
      <c r="E288" s="24" t="str">
        <f>IF(ISNUMBER('Список деталей'!E296), 'Список деталей'!E296, "")</f>
        <v/>
      </c>
      <c r="F288" s="24" t="str">
        <f>IF(ISNUMBER('Список деталей'!C296), 'Список деталей'!C296, "")</f>
        <v/>
      </c>
      <c r="G288" s="24" t="str">
        <f>IF(ISNUMBER('Список деталей'!D296), 'Список деталей'!D296, "")</f>
        <v/>
      </c>
      <c r="H288" s="3" t="str">
        <f t="shared" si="4"/>
        <v xml:space="preserve">    </v>
      </c>
      <c r="I288" s="3" t="str">
        <f>IF(ISBLANK('Список деталей'!F296),"",VLOOKUP('Список деталей'!F296,обозначениКромки,4,0))</f>
        <v/>
      </c>
      <c r="J288" s="25" t="str">
        <f>IF(ISBLANK('Список деталей'!G296),"",VLOOKUP('Список деталей'!G296,обозначениКромки,4,0))</f>
        <v/>
      </c>
      <c r="K288" s="25" t="str">
        <f>IF(ISBLANK('Список деталей'!H296),"",VLOOKUP('Список деталей'!H296,обозначениКромки,4,0))</f>
        <v/>
      </c>
      <c r="L288" s="25" t="str">
        <f>IF(ISBLANK('Список деталей'!I296),"",VLOOKUP('Список деталей'!I296,обозначениКромки,4,0))</f>
        <v/>
      </c>
      <c r="M288" s="24" t="str">
        <f>IF(ISBLANK('Список деталей'!Y296),"",('Список деталей'!Y296))</f>
        <v/>
      </c>
      <c r="N288" s="3" t="str">
        <f>IF(ISBLANK('Список деталей'!Z296),"",('Список деталей'!Z296))</f>
        <v/>
      </c>
      <c r="O288" s="3" t="str">
        <f>IF(ISBLANK('Список деталей'!AA296),"",('Список деталей'!AA296))</f>
        <v/>
      </c>
      <c r="P288" s="3" t="str">
        <f>IF(ISBLANK('Список деталей'!AB296),"",('Список деталей'!AB296))</f>
        <v/>
      </c>
      <c r="Q288" s="45">
        <f>VLOOKUP(IF(ISBLANK('Список деталей'!H296)=TRUE,7,'Список деталей'!H296),кромка,2,0)+VLOOKUP(IF(ISBLANK('Список деталей'!I296)=TRUE,7,'Список деталей'!I296),кромка,2,0)+'Список деталей'!C296</f>
        <v>0</v>
      </c>
      <c r="R288" s="45">
        <f>VLOOKUP(IF(ISBLANK('Список деталей'!F296)=TRUE,7,'Список деталей'!F296),кромка,2,0)+VLOOKUP(IF(ISBLANK('Список деталей'!G296)=TRUE,7,'Список деталей'!G296),кромка,2,0)+'Список деталей'!D296</f>
        <v>0</v>
      </c>
      <c r="S288" s="42">
        <f>IF('Список деталей'!H296="",0,1)+IF('Список деталей'!I296="",0,1)+'Список деталей'!C296</f>
        <v>0</v>
      </c>
      <c r="T288" s="42">
        <f>IF('Список деталей'!F296="",0,1)+IF('Список деталей'!G296="",0,1)+'Список деталей'!D296</f>
        <v>0</v>
      </c>
      <c r="U288" s="3" t="str">
        <f>IF(ISBLANK('Список деталей'!K296),"",'Список деталей'!K296)</f>
        <v/>
      </c>
      <c r="V288" s="3" t="str">
        <f>IF(AND('Список деталей'!C296&gt;849,'Список деталей'!D296&gt;849)=TRUE,1*'Список деталей'!E296,"")</f>
        <v/>
      </c>
    </row>
    <row r="289" spans="1:22" x14ac:dyDescent="0.45">
      <c r="A289" s="3" t="str">
        <f>IF(ISNUMBER('Список деталей'!A297), 'Список деталей'!A297, "")</f>
        <v/>
      </c>
      <c r="B289" s="30" t="str">
        <f>IF(ISBLANK('Список деталей'!B297),"",'Список деталей'!B297)</f>
        <v/>
      </c>
      <c r="C289" s="3" t="str">
        <f>IF(ISNUMBER('Список деталей'!C297), $W$4,"")</f>
        <v/>
      </c>
      <c r="D289" s="3" t="str">
        <f>IF(ISNUMBER('Список деталей'!C297), 'Список деталей'!$I$4,"")</f>
        <v/>
      </c>
      <c r="E289" s="24" t="str">
        <f>IF(ISNUMBER('Список деталей'!E297), 'Список деталей'!E297, "")</f>
        <v/>
      </c>
      <c r="F289" s="24" t="str">
        <f>IF(ISNUMBER('Список деталей'!C297), 'Список деталей'!C297, "")</f>
        <v/>
      </c>
      <c r="G289" s="24" t="str">
        <f>IF(ISNUMBER('Список деталей'!D297), 'Список деталей'!D297, "")</f>
        <v/>
      </c>
      <c r="H289" s="3" t="str">
        <f t="shared" si="4"/>
        <v xml:space="preserve">    </v>
      </c>
      <c r="I289" s="3" t="str">
        <f>IF(ISBLANK('Список деталей'!F297),"",VLOOKUP('Список деталей'!F297,обозначениКромки,4,0))</f>
        <v/>
      </c>
      <c r="J289" s="25" t="str">
        <f>IF(ISBLANK('Список деталей'!G297),"",VLOOKUP('Список деталей'!G297,обозначениКромки,4,0))</f>
        <v/>
      </c>
      <c r="K289" s="25" t="str">
        <f>IF(ISBLANK('Список деталей'!H297),"",VLOOKUP('Список деталей'!H297,обозначениКромки,4,0))</f>
        <v/>
      </c>
      <c r="L289" s="25" t="str">
        <f>IF(ISBLANK('Список деталей'!I297),"",VLOOKUP('Список деталей'!I297,обозначениКромки,4,0))</f>
        <v/>
      </c>
      <c r="M289" s="24" t="str">
        <f>IF(ISBLANK('Список деталей'!Y297),"",('Список деталей'!Y297))</f>
        <v/>
      </c>
      <c r="N289" s="3" t="str">
        <f>IF(ISBLANK('Список деталей'!Z297),"",('Список деталей'!Z297))</f>
        <v/>
      </c>
      <c r="O289" s="3" t="str">
        <f>IF(ISBLANK('Список деталей'!AA297),"",('Список деталей'!AA297))</f>
        <v/>
      </c>
      <c r="P289" s="3" t="str">
        <f>IF(ISBLANK('Список деталей'!AB297),"",('Список деталей'!AB297))</f>
        <v/>
      </c>
      <c r="Q289" s="45">
        <f>VLOOKUP(IF(ISBLANK('Список деталей'!H297)=TRUE,7,'Список деталей'!H297),кромка,2,0)+VLOOKUP(IF(ISBLANK('Список деталей'!I297)=TRUE,7,'Список деталей'!I297),кромка,2,0)+'Список деталей'!C297</f>
        <v>0</v>
      </c>
      <c r="R289" s="45">
        <f>VLOOKUP(IF(ISBLANK('Список деталей'!F297)=TRUE,7,'Список деталей'!F297),кромка,2,0)+VLOOKUP(IF(ISBLANK('Список деталей'!G297)=TRUE,7,'Список деталей'!G297),кромка,2,0)+'Список деталей'!D297</f>
        <v>0</v>
      </c>
      <c r="S289" s="42">
        <f>IF('Список деталей'!H297="",0,1)+IF('Список деталей'!I297="",0,1)+'Список деталей'!C297</f>
        <v>0</v>
      </c>
      <c r="T289" s="42">
        <f>IF('Список деталей'!F297="",0,1)+IF('Список деталей'!G297="",0,1)+'Список деталей'!D297</f>
        <v>0</v>
      </c>
      <c r="U289" s="3" t="str">
        <f>IF(ISBLANK('Список деталей'!K297),"",'Список деталей'!K297)</f>
        <v/>
      </c>
      <c r="V289" s="3" t="str">
        <f>IF(AND('Список деталей'!C297&gt;849,'Список деталей'!D297&gt;849)=TRUE,1*'Список деталей'!E297,"")</f>
        <v/>
      </c>
    </row>
    <row r="290" spans="1:22" x14ac:dyDescent="0.45">
      <c r="A290" s="3" t="str">
        <f>IF(ISNUMBER('Список деталей'!A298), 'Список деталей'!A298, "")</f>
        <v/>
      </c>
      <c r="B290" s="30" t="str">
        <f>IF(ISBLANK('Список деталей'!B298),"",'Список деталей'!B298)</f>
        <v/>
      </c>
      <c r="C290" s="3" t="str">
        <f>IF(ISNUMBER('Список деталей'!C298), $W$4,"")</f>
        <v/>
      </c>
      <c r="D290" s="3" t="str">
        <f>IF(ISNUMBER('Список деталей'!C298), 'Список деталей'!$I$4,"")</f>
        <v/>
      </c>
      <c r="E290" s="24" t="str">
        <f>IF(ISNUMBER('Список деталей'!E298), 'Список деталей'!E298, "")</f>
        <v/>
      </c>
      <c r="F290" s="24" t="str">
        <f>IF(ISNUMBER('Список деталей'!C298), 'Список деталей'!C298, "")</f>
        <v/>
      </c>
      <c r="G290" s="24" t="str">
        <f>IF(ISNUMBER('Список деталей'!D298), 'Список деталей'!D298, "")</f>
        <v/>
      </c>
      <c r="H290" s="3" t="str">
        <f t="shared" si="4"/>
        <v xml:space="preserve">    </v>
      </c>
      <c r="I290" s="3" t="str">
        <f>IF(ISBLANK('Список деталей'!F298),"",VLOOKUP('Список деталей'!F298,обозначениКромки,4,0))</f>
        <v/>
      </c>
      <c r="J290" s="25" t="str">
        <f>IF(ISBLANK('Список деталей'!G298),"",VLOOKUP('Список деталей'!G298,обозначениКромки,4,0))</f>
        <v/>
      </c>
      <c r="K290" s="25" t="str">
        <f>IF(ISBLANK('Список деталей'!H298),"",VLOOKUP('Список деталей'!H298,обозначениКромки,4,0))</f>
        <v/>
      </c>
      <c r="L290" s="25" t="str">
        <f>IF(ISBLANK('Список деталей'!I298),"",VLOOKUP('Список деталей'!I298,обозначениКромки,4,0))</f>
        <v/>
      </c>
      <c r="M290" s="24" t="str">
        <f>IF(ISBLANK('Список деталей'!Y298),"",('Список деталей'!Y298))</f>
        <v/>
      </c>
      <c r="N290" s="3" t="str">
        <f>IF(ISBLANK('Список деталей'!Z298),"",('Список деталей'!Z298))</f>
        <v/>
      </c>
      <c r="O290" s="3" t="str">
        <f>IF(ISBLANK('Список деталей'!AA298),"",('Список деталей'!AA298))</f>
        <v/>
      </c>
      <c r="P290" s="3" t="str">
        <f>IF(ISBLANK('Список деталей'!AB298),"",('Список деталей'!AB298))</f>
        <v/>
      </c>
      <c r="Q290" s="45">
        <f>VLOOKUP(IF(ISBLANK('Список деталей'!H298)=TRUE,7,'Список деталей'!H298),кромка,2,0)+VLOOKUP(IF(ISBLANK('Список деталей'!I298)=TRUE,7,'Список деталей'!I298),кромка,2,0)+'Список деталей'!C298</f>
        <v>0</v>
      </c>
      <c r="R290" s="45">
        <f>VLOOKUP(IF(ISBLANK('Список деталей'!F298)=TRUE,7,'Список деталей'!F298),кромка,2,0)+VLOOKUP(IF(ISBLANK('Список деталей'!G298)=TRUE,7,'Список деталей'!G298),кромка,2,0)+'Список деталей'!D298</f>
        <v>0</v>
      </c>
      <c r="S290" s="42">
        <f>IF('Список деталей'!H298="",0,1)+IF('Список деталей'!I298="",0,1)+'Список деталей'!C298</f>
        <v>0</v>
      </c>
      <c r="T290" s="42">
        <f>IF('Список деталей'!F298="",0,1)+IF('Список деталей'!G298="",0,1)+'Список деталей'!D298</f>
        <v>0</v>
      </c>
      <c r="U290" s="3" t="str">
        <f>IF(ISBLANK('Список деталей'!K298),"",'Список деталей'!K298)</f>
        <v/>
      </c>
      <c r="V290" s="3" t="str">
        <f>IF(AND('Список деталей'!C298&gt;849,'Список деталей'!D298&gt;849)=TRUE,1*'Список деталей'!E298,"")</f>
        <v/>
      </c>
    </row>
    <row r="291" spans="1:22" x14ac:dyDescent="0.45">
      <c r="A291" s="3" t="str">
        <f>IF(ISNUMBER('Список деталей'!A299), 'Список деталей'!A299, "")</f>
        <v/>
      </c>
      <c r="B291" s="30" t="str">
        <f>IF(ISBLANK('Список деталей'!B299),"",'Список деталей'!B299)</f>
        <v/>
      </c>
      <c r="C291" s="3" t="str">
        <f>IF(ISNUMBER('Список деталей'!C299), $W$4,"")</f>
        <v/>
      </c>
      <c r="D291" s="3" t="str">
        <f>IF(ISNUMBER('Список деталей'!C299), 'Список деталей'!$I$4,"")</f>
        <v/>
      </c>
      <c r="E291" s="24" t="str">
        <f>IF(ISNUMBER('Список деталей'!E299), 'Список деталей'!E299, "")</f>
        <v/>
      </c>
      <c r="F291" s="24" t="str">
        <f>IF(ISNUMBER('Список деталей'!C299), 'Список деталей'!C299, "")</f>
        <v/>
      </c>
      <c r="G291" s="24" t="str">
        <f>IF(ISNUMBER('Список деталей'!D299), 'Список деталей'!D299, "")</f>
        <v/>
      </c>
      <c r="H291" s="3" t="str">
        <f t="shared" si="4"/>
        <v xml:space="preserve">    </v>
      </c>
      <c r="I291" s="3" t="str">
        <f>IF(ISBLANK('Список деталей'!F299),"",VLOOKUP('Список деталей'!F299,обозначениКромки,4,0))</f>
        <v/>
      </c>
      <c r="J291" s="25" t="str">
        <f>IF(ISBLANK('Список деталей'!G299),"",VLOOKUP('Список деталей'!G299,обозначениКромки,4,0))</f>
        <v/>
      </c>
      <c r="K291" s="25" t="str">
        <f>IF(ISBLANK('Список деталей'!H299),"",VLOOKUP('Список деталей'!H299,обозначениКромки,4,0))</f>
        <v/>
      </c>
      <c r="L291" s="25" t="str">
        <f>IF(ISBLANK('Список деталей'!I299),"",VLOOKUP('Список деталей'!I299,обозначениКромки,4,0))</f>
        <v/>
      </c>
      <c r="M291" s="24" t="str">
        <f>IF(ISBLANK('Список деталей'!Y299),"",('Список деталей'!Y299))</f>
        <v/>
      </c>
      <c r="N291" s="3" t="str">
        <f>IF(ISBLANK('Список деталей'!Z299),"",('Список деталей'!Z299))</f>
        <v/>
      </c>
      <c r="O291" s="3" t="str">
        <f>IF(ISBLANK('Список деталей'!AA299),"",('Список деталей'!AA299))</f>
        <v/>
      </c>
      <c r="P291" s="3" t="str">
        <f>IF(ISBLANK('Список деталей'!AB299),"",('Список деталей'!AB299))</f>
        <v/>
      </c>
      <c r="Q291" s="45">
        <f>VLOOKUP(IF(ISBLANK('Список деталей'!H299)=TRUE,7,'Список деталей'!H299),кромка,2,0)+VLOOKUP(IF(ISBLANK('Список деталей'!I299)=TRUE,7,'Список деталей'!I299),кромка,2,0)+'Список деталей'!C299</f>
        <v>0</v>
      </c>
      <c r="R291" s="45">
        <f>VLOOKUP(IF(ISBLANK('Список деталей'!F299)=TRUE,7,'Список деталей'!F299),кромка,2,0)+VLOOKUP(IF(ISBLANK('Список деталей'!G299)=TRUE,7,'Список деталей'!G299),кромка,2,0)+'Список деталей'!D299</f>
        <v>0</v>
      </c>
      <c r="S291" s="42">
        <f>IF('Список деталей'!H299="",0,1)+IF('Список деталей'!I299="",0,1)+'Список деталей'!C299</f>
        <v>0</v>
      </c>
      <c r="T291" s="42">
        <f>IF('Список деталей'!F299="",0,1)+IF('Список деталей'!G299="",0,1)+'Список деталей'!D299</f>
        <v>0</v>
      </c>
      <c r="U291" s="3" t="str">
        <f>IF(ISBLANK('Список деталей'!K299),"",'Список деталей'!K299)</f>
        <v/>
      </c>
      <c r="V291" s="3" t="str">
        <f>IF(AND('Список деталей'!C299&gt;849,'Список деталей'!D299&gt;849)=TRUE,1*'Список деталей'!E299,"")</f>
        <v/>
      </c>
    </row>
    <row r="292" spans="1:22" x14ac:dyDescent="0.45">
      <c r="A292" s="3" t="str">
        <f>IF(ISNUMBER('Список деталей'!A300), 'Список деталей'!A300, "")</f>
        <v/>
      </c>
      <c r="B292" s="30" t="str">
        <f>IF(ISBLANK('Список деталей'!B300),"",'Список деталей'!B300)</f>
        <v/>
      </c>
      <c r="C292" s="3" t="str">
        <f>IF(ISNUMBER('Список деталей'!C300), $W$4,"")</f>
        <v/>
      </c>
      <c r="D292" s="3" t="str">
        <f>IF(ISNUMBER('Список деталей'!C300), 'Список деталей'!$I$4,"")</f>
        <v/>
      </c>
      <c r="E292" s="24" t="str">
        <f>IF(ISNUMBER('Список деталей'!E300), 'Список деталей'!E300, "")</f>
        <v/>
      </c>
      <c r="F292" s="24" t="str">
        <f>IF(ISNUMBER('Список деталей'!C300), 'Список деталей'!C300, "")</f>
        <v/>
      </c>
      <c r="G292" s="24" t="str">
        <f>IF(ISNUMBER('Список деталей'!D300), 'Список деталей'!D300, "")</f>
        <v/>
      </c>
      <c r="H292" s="3" t="str">
        <f t="shared" si="4"/>
        <v xml:space="preserve">    </v>
      </c>
      <c r="I292" s="3" t="str">
        <f>IF(ISBLANK('Список деталей'!F300),"",VLOOKUP('Список деталей'!F300,обозначениКромки,4,0))</f>
        <v/>
      </c>
      <c r="J292" s="25" t="str">
        <f>IF(ISBLANK('Список деталей'!G300),"",VLOOKUP('Список деталей'!G300,обозначениКромки,4,0))</f>
        <v/>
      </c>
      <c r="K292" s="25" t="str">
        <f>IF(ISBLANK('Список деталей'!H300),"",VLOOKUP('Список деталей'!H300,обозначениКромки,4,0))</f>
        <v/>
      </c>
      <c r="L292" s="25" t="str">
        <f>IF(ISBLANK('Список деталей'!I300),"",VLOOKUP('Список деталей'!I300,обозначениКромки,4,0))</f>
        <v/>
      </c>
      <c r="M292" s="24" t="str">
        <f>IF(ISBLANK('Список деталей'!Y300),"",('Список деталей'!Y300))</f>
        <v/>
      </c>
      <c r="N292" s="3" t="str">
        <f>IF(ISBLANK('Список деталей'!Z300),"",('Список деталей'!Z300))</f>
        <v/>
      </c>
      <c r="O292" s="3" t="str">
        <f>IF(ISBLANK('Список деталей'!AA300),"",('Список деталей'!AA300))</f>
        <v/>
      </c>
      <c r="P292" s="3" t="str">
        <f>IF(ISBLANK('Список деталей'!AB300),"",('Список деталей'!AB300))</f>
        <v/>
      </c>
      <c r="Q292" s="45">
        <f>VLOOKUP(IF(ISBLANK('Список деталей'!H300)=TRUE,7,'Список деталей'!H300),кромка,2,0)+VLOOKUP(IF(ISBLANK('Список деталей'!I300)=TRUE,7,'Список деталей'!I300),кромка,2,0)+'Список деталей'!C300</f>
        <v>0</v>
      </c>
      <c r="R292" s="45">
        <f>VLOOKUP(IF(ISBLANK('Список деталей'!F300)=TRUE,7,'Список деталей'!F300),кромка,2,0)+VLOOKUP(IF(ISBLANK('Список деталей'!G300)=TRUE,7,'Список деталей'!G300),кромка,2,0)+'Список деталей'!D300</f>
        <v>0</v>
      </c>
      <c r="S292" s="42">
        <f>IF('Список деталей'!H300="",0,1)+IF('Список деталей'!I300="",0,1)+'Список деталей'!C300</f>
        <v>0</v>
      </c>
      <c r="T292" s="42">
        <f>IF('Список деталей'!F300="",0,1)+IF('Список деталей'!G300="",0,1)+'Список деталей'!D300</f>
        <v>0</v>
      </c>
      <c r="U292" s="3" t="str">
        <f>IF(ISBLANK('Список деталей'!K300),"",'Список деталей'!K300)</f>
        <v/>
      </c>
      <c r="V292" s="3" t="str">
        <f>IF(AND('Список деталей'!C300&gt;849,'Список деталей'!D300&gt;849)=TRUE,1*'Список деталей'!E300,"")</f>
        <v/>
      </c>
    </row>
    <row r="293" spans="1:22" x14ac:dyDescent="0.45">
      <c r="A293" s="3" t="str">
        <f>IF(ISNUMBER('Список деталей'!A301), 'Список деталей'!A301, "")</f>
        <v/>
      </c>
      <c r="B293" s="30" t="str">
        <f>IF(ISBLANK('Список деталей'!B301),"",'Список деталей'!B301)</f>
        <v/>
      </c>
      <c r="C293" s="3" t="str">
        <f>IF(ISNUMBER('Список деталей'!C301), $W$4,"")</f>
        <v/>
      </c>
      <c r="D293" s="3" t="str">
        <f>IF(ISNUMBER('Список деталей'!C301), 'Список деталей'!$I$4,"")</f>
        <v/>
      </c>
      <c r="E293" s="24" t="str">
        <f>IF(ISNUMBER('Список деталей'!E301), 'Список деталей'!E301, "")</f>
        <v/>
      </c>
      <c r="F293" s="24" t="str">
        <f>IF(ISNUMBER('Список деталей'!C301), 'Список деталей'!C301, "")</f>
        <v/>
      </c>
      <c r="G293" s="24" t="str">
        <f>IF(ISNUMBER('Список деталей'!D301), 'Список деталей'!D301, "")</f>
        <v/>
      </c>
      <c r="H293" s="3" t="str">
        <f t="shared" si="4"/>
        <v xml:space="preserve">    </v>
      </c>
      <c r="I293" s="3" t="str">
        <f>IF(ISBLANK('Список деталей'!F301),"",VLOOKUP('Список деталей'!F301,обозначениКромки,4,0))</f>
        <v/>
      </c>
      <c r="J293" s="25" t="str">
        <f>IF(ISBLANK('Список деталей'!G301),"",VLOOKUP('Список деталей'!G301,обозначениКромки,4,0))</f>
        <v/>
      </c>
      <c r="K293" s="25" t="str">
        <f>IF(ISBLANK('Список деталей'!H301),"",VLOOKUP('Список деталей'!H301,обозначениКромки,4,0))</f>
        <v/>
      </c>
      <c r="L293" s="25" t="str">
        <f>IF(ISBLANK('Список деталей'!I301),"",VLOOKUP('Список деталей'!I301,обозначениКромки,4,0))</f>
        <v/>
      </c>
      <c r="M293" s="24" t="str">
        <f>IF(ISBLANK('Список деталей'!Y301),"",('Список деталей'!Y301))</f>
        <v/>
      </c>
      <c r="N293" s="3" t="str">
        <f>IF(ISBLANK('Список деталей'!Z301),"",('Список деталей'!Z301))</f>
        <v/>
      </c>
      <c r="O293" s="3" t="str">
        <f>IF(ISBLANK('Список деталей'!AA301),"",('Список деталей'!AA301))</f>
        <v/>
      </c>
      <c r="P293" s="3" t="str">
        <f>IF(ISBLANK('Список деталей'!AB301),"",('Список деталей'!AB301))</f>
        <v/>
      </c>
      <c r="Q293" s="45">
        <f>VLOOKUP(IF(ISBLANK('Список деталей'!H301)=TRUE,7,'Список деталей'!H301),кромка,2,0)+VLOOKUP(IF(ISBLANK('Список деталей'!I301)=TRUE,7,'Список деталей'!I301),кромка,2,0)+'Список деталей'!C301</f>
        <v>0</v>
      </c>
      <c r="R293" s="45">
        <f>VLOOKUP(IF(ISBLANK('Список деталей'!F301)=TRUE,7,'Список деталей'!F301),кромка,2,0)+VLOOKUP(IF(ISBLANK('Список деталей'!G301)=TRUE,7,'Список деталей'!G301),кромка,2,0)+'Список деталей'!D301</f>
        <v>0</v>
      </c>
      <c r="S293" s="42">
        <f>IF('Список деталей'!H301="",0,1)+IF('Список деталей'!I301="",0,1)+'Список деталей'!C301</f>
        <v>0</v>
      </c>
      <c r="T293" s="42">
        <f>IF('Список деталей'!F301="",0,1)+IF('Список деталей'!G301="",0,1)+'Список деталей'!D301</f>
        <v>0</v>
      </c>
      <c r="U293" s="3" t="str">
        <f>IF(ISBLANK('Список деталей'!K301),"",'Список деталей'!K301)</f>
        <v/>
      </c>
      <c r="V293" s="3" t="str">
        <f>IF(AND('Список деталей'!C301&gt;849,'Список деталей'!D301&gt;849)=TRUE,1*'Список деталей'!E301,"")</f>
        <v/>
      </c>
    </row>
    <row r="294" spans="1:22" x14ac:dyDescent="0.45">
      <c r="A294" s="3" t="str">
        <f>IF(ISNUMBER('Список деталей'!A302), 'Список деталей'!A302, "")</f>
        <v/>
      </c>
      <c r="B294" s="30" t="str">
        <f>IF(ISBLANK('Список деталей'!B302),"",'Список деталей'!B302)</f>
        <v/>
      </c>
      <c r="C294" s="3" t="str">
        <f>IF(ISNUMBER('Список деталей'!C302), $W$4,"")</f>
        <v/>
      </c>
      <c r="D294" s="3" t="str">
        <f>IF(ISNUMBER('Список деталей'!C302), 'Список деталей'!$I$4,"")</f>
        <v/>
      </c>
      <c r="E294" s="24" t="str">
        <f>IF(ISNUMBER('Список деталей'!E302), 'Список деталей'!E302, "")</f>
        <v/>
      </c>
      <c r="F294" s="24" t="str">
        <f>IF(ISNUMBER('Список деталей'!C302), 'Список деталей'!C302, "")</f>
        <v/>
      </c>
      <c r="G294" s="24" t="str">
        <f>IF(ISNUMBER('Список деталей'!D302), 'Список деталей'!D302, "")</f>
        <v/>
      </c>
      <c r="H294" s="3" t="str">
        <f t="shared" si="4"/>
        <v xml:space="preserve">    </v>
      </c>
      <c r="I294" s="3" t="str">
        <f>IF(ISBLANK('Список деталей'!F302),"",VLOOKUP('Список деталей'!F302,обозначениКромки,4,0))</f>
        <v/>
      </c>
      <c r="J294" s="25" t="str">
        <f>IF(ISBLANK('Список деталей'!G302),"",VLOOKUP('Список деталей'!G302,обозначениКромки,4,0))</f>
        <v/>
      </c>
      <c r="K294" s="25" t="str">
        <f>IF(ISBLANK('Список деталей'!H302),"",VLOOKUP('Список деталей'!H302,обозначениКромки,4,0))</f>
        <v/>
      </c>
      <c r="L294" s="25" t="str">
        <f>IF(ISBLANK('Список деталей'!I302),"",VLOOKUP('Список деталей'!I302,обозначениКромки,4,0))</f>
        <v/>
      </c>
      <c r="M294" s="24" t="str">
        <f>IF(ISBLANK('Список деталей'!Y302),"",('Список деталей'!Y302))</f>
        <v/>
      </c>
      <c r="N294" s="3" t="str">
        <f>IF(ISBLANK('Список деталей'!Z302),"",('Список деталей'!Z302))</f>
        <v/>
      </c>
      <c r="O294" s="3" t="str">
        <f>IF(ISBLANK('Список деталей'!AA302),"",('Список деталей'!AA302))</f>
        <v/>
      </c>
      <c r="P294" s="3" t="str">
        <f>IF(ISBLANK('Список деталей'!AB302),"",('Список деталей'!AB302))</f>
        <v/>
      </c>
      <c r="Q294" s="45">
        <f>VLOOKUP(IF(ISBLANK('Список деталей'!H302)=TRUE,7,'Список деталей'!H302),кромка,2,0)+VLOOKUP(IF(ISBLANK('Список деталей'!I302)=TRUE,7,'Список деталей'!I302),кромка,2,0)+'Список деталей'!C302</f>
        <v>0</v>
      </c>
      <c r="R294" s="45">
        <f>VLOOKUP(IF(ISBLANK('Список деталей'!F302)=TRUE,7,'Список деталей'!F302),кромка,2,0)+VLOOKUP(IF(ISBLANK('Список деталей'!G302)=TRUE,7,'Список деталей'!G302),кромка,2,0)+'Список деталей'!D302</f>
        <v>0</v>
      </c>
      <c r="S294" s="42">
        <f>IF('Список деталей'!H302="",0,1)+IF('Список деталей'!I302="",0,1)+'Список деталей'!C302</f>
        <v>0</v>
      </c>
      <c r="T294" s="42">
        <f>IF('Список деталей'!F302="",0,1)+IF('Список деталей'!G302="",0,1)+'Список деталей'!D302</f>
        <v>0</v>
      </c>
      <c r="U294" s="3" t="str">
        <f>IF(ISBLANK('Список деталей'!K302),"",'Список деталей'!K302)</f>
        <v/>
      </c>
      <c r="V294" s="3" t="str">
        <f>IF(AND('Список деталей'!C302&gt;849,'Список деталей'!D302&gt;849)=TRUE,1*'Список деталей'!E302,"")</f>
        <v/>
      </c>
    </row>
    <row r="295" spans="1:22" x14ac:dyDescent="0.45">
      <c r="A295" s="3" t="str">
        <f>IF(ISNUMBER('Список деталей'!A303), 'Список деталей'!A303, "")</f>
        <v/>
      </c>
      <c r="B295" s="30" t="str">
        <f>IF(ISBLANK('Список деталей'!B303),"",'Список деталей'!B303)</f>
        <v/>
      </c>
      <c r="C295" s="3" t="str">
        <f>IF(ISNUMBER('Список деталей'!C303), $W$4,"")</f>
        <v/>
      </c>
      <c r="D295" s="3" t="str">
        <f>IF(ISNUMBER('Список деталей'!C303), 'Список деталей'!$I$4,"")</f>
        <v/>
      </c>
      <c r="E295" s="24" t="str">
        <f>IF(ISNUMBER('Список деталей'!E303), 'Список деталей'!E303, "")</f>
        <v/>
      </c>
      <c r="F295" s="24" t="str">
        <f>IF(ISNUMBER('Список деталей'!C303), 'Список деталей'!C303, "")</f>
        <v/>
      </c>
      <c r="G295" s="24" t="str">
        <f>IF(ISNUMBER('Список деталей'!D303), 'Список деталей'!D303, "")</f>
        <v/>
      </c>
      <c r="H295" s="3" t="str">
        <f t="shared" si="4"/>
        <v xml:space="preserve">    </v>
      </c>
      <c r="I295" s="3" t="str">
        <f>IF(ISBLANK('Список деталей'!F303),"",VLOOKUP('Список деталей'!F303,обозначениКромки,4,0))</f>
        <v/>
      </c>
      <c r="J295" s="25" t="str">
        <f>IF(ISBLANK('Список деталей'!G303),"",VLOOKUP('Список деталей'!G303,обозначениКромки,4,0))</f>
        <v/>
      </c>
      <c r="K295" s="25" t="str">
        <f>IF(ISBLANK('Список деталей'!H303),"",VLOOKUP('Список деталей'!H303,обозначениКромки,4,0))</f>
        <v/>
      </c>
      <c r="L295" s="25" t="str">
        <f>IF(ISBLANK('Список деталей'!I303),"",VLOOKUP('Список деталей'!I303,обозначениКромки,4,0))</f>
        <v/>
      </c>
      <c r="M295" s="24" t="str">
        <f>IF(ISBLANK('Список деталей'!Y303),"",('Список деталей'!Y303))</f>
        <v/>
      </c>
      <c r="N295" s="3" t="str">
        <f>IF(ISBLANK('Список деталей'!Z303),"",('Список деталей'!Z303))</f>
        <v/>
      </c>
      <c r="O295" s="3" t="str">
        <f>IF(ISBLANK('Список деталей'!AA303),"",('Список деталей'!AA303))</f>
        <v/>
      </c>
      <c r="P295" s="3" t="str">
        <f>IF(ISBLANK('Список деталей'!AB303),"",('Список деталей'!AB303))</f>
        <v/>
      </c>
      <c r="Q295" s="45">
        <f>VLOOKUP(IF(ISBLANK('Список деталей'!H303)=TRUE,7,'Список деталей'!H303),кромка,2,0)+VLOOKUP(IF(ISBLANK('Список деталей'!I303)=TRUE,7,'Список деталей'!I303),кромка,2,0)+'Список деталей'!C303</f>
        <v>0</v>
      </c>
      <c r="R295" s="45">
        <f>VLOOKUP(IF(ISBLANK('Список деталей'!F303)=TRUE,7,'Список деталей'!F303),кромка,2,0)+VLOOKUP(IF(ISBLANK('Список деталей'!G303)=TRUE,7,'Список деталей'!G303),кромка,2,0)+'Список деталей'!D303</f>
        <v>0</v>
      </c>
      <c r="S295" s="42">
        <f>IF('Список деталей'!H303="",0,1)+IF('Список деталей'!I303="",0,1)+'Список деталей'!C303</f>
        <v>0</v>
      </c>
      <c r="T295" s="42">
        <f>IF('Список деталей'!F303="",0,1)+IF('Список деталей'!G303="",0,1)+'Список деталей'!D303</f>
        <v>0</v>
      </c>
      <c r="U295" s="3" t="str">
        <f>IF(ISBLANK('Список деталей'!K303),"",'Список деталей'!K303)</f>
        <v/>
      </c>
      <c r="V295" s="3" t="str">
        <f>IF(AND('Список деталей'!C303&gt;849,'Список деталей'!D303&gt;849)=TRUE,1*'Список деталей'!E303,"")</f>
        <v/>
      </c>
    </row>
    <row r="296" spans="1:22" x14ac:dyDescent="0.45">
      <c r="A296" s="3" t="str">
        <f>IF(ISNUMBER('Список деталей'!A304), 'Список деталей'!A304, "")</f>
        <v/>
      </c>
      <c r="B296" s="30" t="str">
        <f>IF(ISBLANK('Список деталей'!B304),"",'Список деталей'!B304)</f>
        <v/>
      </c>
      <c r="C296" s="3" t="str">
        <f>IF(ISNUMBER('Список деталей'!C304), $W$4,"")</f>
        <v/>
      </c>
      <c r="D296" s="3" t="str">
        <f>IF(ISNUMBER('Список деталей'!C304), 'Список деталей'!$I$4,"")</f>
        <v/>
      </c>
      <c r="E296" s="24" t="str">
        <f>IF(ISNUMBER('Список деталей'!E304), 'Список деталей'!E304, "")</f>
        <v/>
      </c>
      <c r="F296" s="24" t="str">
        <f>IF(ISNUMBER('Список деталей'!C304), 'Список деталей'!C304, "")</f>
        <v/>
      </c>
      <c r="G296" s="24" t="str">
        <f>IF(ISNUMBER('Список деталей'!D304), 'Список деталей'!D304, "")</f>
        <v/>
      </c>
      <c r="H296" s="3" t="str">
        <f t="shared" si="4"/>
        <v xml:space="preserve">    </v>
      </c>
      <c r="I296" s="3" t="str">
        <f>IF(ISBLANK('Список деталей'!F304),"",VLOOKUP('Список деталей'!F304,обозначениКромки,4,0))</f>
        <v/>
      </c>
      <c r="J296" s="25" t="str">
        <f>IF(ISBLANK('Список деталей'!G304),"",VLOOKUP('Список деталей'!G304,обозначениКромки,4,0))</f>
        <v/>
      </c>
      <c r="K296" s="25" t="str">
        <f>IF(ISBLANK('Список деталей'!H304),"",VLOOKUP('Список деталей'!H304,обозначениКромки,4,0))</f>
        <v/>
      </c>
      <c r="L296" s="25" t="str">
        <f>IF(ISBLANK('Список деталей'!I304),"",VLOOKUP('Список деталей'!I304,обозначениКромки,4,0))</f>
        <v/>
      </c>
      <c r="M296" s="24" t="str">
        <f>IF(ISBLANK('Список деталей'!Y304),"",('Список деталей'!Y304))</f>
        <v/>
      </c>
      <c r="N296" s="3" t="str">
        <f>IF(ISBLANK('Список деталей'!Z304),"",('Список деталей'!Z304))</f>
        <v/>
      </c>
      <c r="O296" s="3" t="str">
        <f>IF(ISBLANK('Список деталей'!AA304),"",('Список деталей'!AA304))</f>
        <v/>
      </c>
      <c r="P296" s="3" t="str">
        <f>IF(ISBLANK('Список деталей'!AB304),"",('Список деталей'!AB304))</f>
        <v/>
      </c>
      <c r="Q296" s="45">
        <f>VLOOKUP(IF(ISBLANK('Список деталей'!H304)=TRUE,7,'Список деталей'!H304),кромка,2,0)+VLOOKUP(IF(ISBLANK('Список деталей'!I304)=TRUE,7,'Список деталей'!I304),кромка,2,0)+'Список деталей'!C304</f>
        <v>0</v>
      </c>
      <c r="R296" s="45">
        <f>VLOOKUP(IF(ISBLANK('Список деталей'!F304)=TRUE,7,'Список деталей'!F304),кромка,2,0)+VLOOKUP(IF(ISBLANK('Список деталей'!G304)=TRUE,7,'Список деталей'!G304),кромка,2,0)+'Список деталей'!D304</f>
        <v>0</v>
      </c>
      <c r="S296" s="42">
        <f>IF('Список деталей'!H304="",0,1)+IF('Список деталей'!I304="",0,1)+'Список деталей'!C304</f>
        <v>0</v>
      </c>
      <c r="T296" s="42">
        <f>IF('Список деталей'!F304="",0,1)+IF('Список деталей'!G304="",0,1)+'Список деталей'!D304</f>
        <v>0</v>
      </c>
      <c r="U296" s="3" t="str">
        <f>IF(ISBLANK('Список деталей'!K304),"",'Список деталей'!K304)</f>
        <v/>
      </c>
      <c r="V296" s="3" t="str">
        <f>IF(AND('Список деталей'!C304&gt;849,'Список деталей'!D304&gt;849)=TRUE,1*'Список деталей'!E304,"")</f>
        <v/>
      </c>
    </row>
    <row r="297" spans="1:22" x14ac:dyDescent="0.45">
      <c r="A297" s="3" t="str">
        <f>IF(ISNUMBER('Список деталей'!A305), 'Список деталей'!A305, "")</f>
        <v/>
      </c>
      <c r="B297" s="30" t="str">
        <f>IF(ISBLANK('Список деталей'!B305),"",'Список деталей'!B305)</f>
        <v/>
      </c>
      <c r="C297" s="3" t="str">
        <f>IF(ISNUMBER('Список деталей'!C305), $W$4,"")</f>
        <v/>
      </c>
      <c r="D297" s="3" t="str">
        <f>IF(ISNUMBER('Список деталей'!C305), 'Список деталей'!$I$4,"")</f>
        <v/>
      </c>
      <c r="E297" s="24" t="str">
        <f>IF(ISNUMBER('Список деталей'!E305), 'Список деталей'!E305, "")</f>
        <v/>
      </c>
      <c r="F297" s="24" t="str">
        <f>IF(ISNUMBER('Список деталей'!C305), 'Список деталей'!C305, "")</f>
        <v/>
      </c>
      <c r="G297" s="24" t="str">
        <f>IF(ISNUMBER('Список деталей'!D305), 'Список деталей'!D305, "")</f>
        <v/>
      </c>
      <c r="H297" s="3" t="str">
        <f t="shared" si="4"/>
        <v xml:space="preserve">    </v>
      </c>
      <c r="I297" s="3" t="str">
        <f>IF(ISBLANK('Список деталей'!F305),"",VLOOKUP('Список деталей'!F305,обозначениКромки,4,0))</f>
        <v/>
      </c>
      <c r="J297" s="25" t="str">
        <f>IF(ISBLANK('Список деталей'!G305),"",VLOOKUP('Список деталей'!G305,обозначениКромки,4,0))</f>
        <v/>
      </c>
      <c r="K297" s="25" t="str">
        <f>IF(ISBLANK('Список деталей'!H305),"",VLOOKUP('Список деталей'!H305,обозначениКромки,4,0))</f>
        <v/>
      </c>
      <c r="L297" s="25" t="str">
        <f>IF(ISBLANK('Список деталей'!I305),"",VLOOKUP('Список деталей'!I305,обозначениКромки,4,0))</f>
        <v/>
      </c>
      <c r="M297" s="24" t="str">
        <f>IF(ISBLANK('Список деталей'!Y305),"",('Список деталей'!Y305))</f>
        <v/>
      </c>
      <c r="N297" s="3" t="str">
        <f>IF(ISBLANK('Список деталей'!Z305),"",('Список деталей'!Z305))</f>
        <v/>
      </c>
      <c r="O297" s="3" t="str">
        <f>IF(ISBLANK('Список деталей'!AA305),"",('Список деталей'!AA305))</f>
        <v/>
      </c>
      <c r="P297" s="3" t="str">
        <f>IF(ISBLANK('Список деталей'!AB305),"",('Список деталей'!AB305))</f>
        <v/>
      </c>
      <c r="Q297" s="45">
        <f>VLOOKUP(IF(ISBLANK('Список деталей'!H305)=TRUE,7,'Список деталей'!H305),кромка,2,0)+VLOOKUP(IF(ISBLANK('Список деталей'!I305)=TRUE,7,'Список деталей'!I305),кромка,2,0)+'Список деталей'!C305</f>
        <v>0</v>
      </c>
      <c r="R297" s="45">
        <f>VLOOKUP(IF(ISBLANK('Список деталей'!F305)=TRUE,7,'Список деталей'!F305),кромка,2,0)+VLOOKUP(IF(ISBLANK('Список деталей'!G305)=TRUE,7,'Список деталей'!G305),кромка,2,0)+'Список деталей'!D305</f>
        <v>0</v>
      </c>
      <c r="S297" s="42">
        <f>IF('Список деталей'!H305="",0,1)+IF('Список деталей'!I305="",0,1)+'Список деталей'!C305</f>
        <v>0</v>
      </c>
      <c r="T297" s="42">
        <f>IF('Список деталей'!F305="",0,1)+IF('Список деталей'!G305="",0,1)+'Список деталей'!D305</f>
        <v>0</v>
      </c>
      <c r="U297" s="3" t="str">
        <f>IF(ISBLANK('Список деталей'!K305),"",'Список деталей'!K305)</f>
        <v/>
      </c>
      <c r="V297" s="3" t="str">
        <f>IF(AND('Список деталей'!C305&gt;849,'Список деталей'!D305&gt;849)=TRUE,1*'Список деталей'!E305,"")</f>
        <v/>
      </c>
    </row>
    <row r="298" spans="1:22" x14ac:dyDescent="0.45">
      <c r="A298" s="3" t="str">
        <f>IF(ISNUMBER('Список деталей'!A306), 'Список деталей'!A306, "")</f>
        <v/>
      </c>
      <c r="B298" s="30" t="str">
        <f>IF(ISBLANK('Список деталей'!B306),"",'Список деталей'!B306)</f>
        <v/>
      </c>
      <c r="C298" s="3" t="str">
        <f>IF(ISNUMBER('Список деталей'!C306), $W$4,"")</f>
        <v/>
      </c>
      <c r="D298" s="3" t="str">
        <f>IF(ISNUMBER('Список деталей'!C306), 'Список деталей'!$I$4,"")</f>
        <v/>
      </c>
      <c r="E298" s="24" t="str">
        <f>IF(ISNUMBER('Список деталей'!E306), 'Список деталей'!E306, "")</f>
        <v/>
      </c>
      <c r="F298" s="24" t="str">
        <f>IF(ISNUMBER('Список деталей'!C306), 'Список деталей'!C306, "")</f>
        <v/>
      </c>
      <c r="G298" s="24" t="str">
        <f>IF(ISNUMBER('Список деталей'!D306), 'Список деталей'!D306, "")</f>
        <v/>
      </c>
      <c r="H298" s="3" t="str">
        <f t="shared" si="4"/>
        <v xml:space="preserve">    </v>
      </c>
      <c r="I298" s="3" t="str">
        <f>IF(ISBLANK('Список деталей'!F306),"",VLOOKUP('Список деталей'!F306,обозначениКромки,4,0))</f>
        <v/>
      </c>
      <c r="J298" s="25" t="str">
        <f>IF(ISBLANK('Список деталей'!G306),"",VLOOKUP('Список деталей'!G306,обозначениКромки,4,0))</f>
        <v/>
      </c>
      <c r="K298" s="25" t="str">
        <f>IF(ISBLANK('Список деталей'!H306),"",VLOOKUP('Список деталей'!H306,обозначениКромки,4,0))</f>
        <v/>
      </c>
      <c r="L298" s="25" t="str">
        <f>IF(ISBLANK('Список деталей'!I306),"",VLOOKUP('Список деталей'!I306,обозначениКромки,4,0))</f>
        <v/>
      </c>
      <c r="M298" s="24" t="str">
        <f>IF(ISBLANK('Список деталей'!Y306),"",('Список деталей'!Y306))</f>
        <v/>
      </c>
      <c r="N298" s="3" t="str">
        <f>IF(ISBLANK('Список деталей'!Z306),"",('Список деталей'!Z306))</f>
        <v/>
      </c>
      <c r="O298" s="3" t="str">
        <f>IF(ISBLANK('Список деталей'!AA306),"",('Список деталей'!AA306))</f>
        <v/>
      </c>
      <c r="P298" s="3" t="str">
        <f>IF(ISBLANK('Список деталей'!AB306),"",('Список деталей'!AB306))</f>
        <v/>
      </c>
      <c r="Q298" s="45">
        <f>VLOOKUP(IF(ISBLANK('Список деталей'!H306)=TRUE,7,'Список деталей'!H306),кромка,2,0)+VLOOKUP(IF(ISBLANK('Список деталей'!I306)=TRUE,7,'Список деталей'!I306),кромка,2,0)+'Список деталей'!C306</f>
        <v>0</v>
      </c>
      <c r="R298" s="45">
        <f>VLOOKUP(IF(ISBLANK('Список деталей'!F306)=TRUE,7,'Список деталей'!F306),кромка,2,0)+VLOOKUP(IF(ISBLANK('Список деталей'!G306)=TRUE,7,'Список деталей'!G306),кромка,2,0)+'Список деталей'!D306</f>
        <v>0</v>
      </c>
      <c r="S298" s="42">
        <f>IF('Список деталей'!H306="",0,1)+IF('Список деталей'!I306="",0,1)+'Список деталей'!C306</f>
        <v>0</v>
      </c>
      <c r="T298" s="42">
        <f>IF('Список деталей'!F306="",0,1)+IF('Список деталей'!G306="",0,1)+'Список деталей'!D306</f>
        <v>0</v>
      </c>
      <c r="U298" s="3" t="str">
        <f>IF(ISBLANK('Список деталей'!K306),"",'Список деталей'!K306)</f>
        <v/>
      </c>
      <c r="V298" s="3" t="str">
        <f>IF(AND('Список деталей'!C306&gt;849,'Список деталей'!D306&gt;849)=TRUE,1*'Список деталей'!E306,"")</f>
        <v/>
      </c>
    </row>
    <row r="299" spans="1:22" x14ac:dyDescent="0.45">
      <c r="A299" s="3" t="str">
        <f>IF(ISNUMBER('Список деталей'!A307), 'Список деталей'!A307, "")</f>
        <v/>
      </c>
      <c r="B299" s="30" t="str">
        <f>IF(ISBLANK('Список деталей'!B307),"",'Список деталей'!B307)</f>
        <v/>
      </c>
      <c r="C299" s="3" t="str">
        <f>IF(ISNUMBER('Список деталей'!C307), $W$4,"")</f>
        <v/>
      </c>
      <c r="D299" s="3" t="str">
        <f>IF(ISNUMBER('Список деталей'!C307), 'Список деталей'!$I$4,"")</f>
        <v/>
      </c>
      <c r="E299" s="24" t="str">
        <f>IF(ISNUMBER('Список деталей'!E307), 'Список деталей'!E307, "")</f>
        <v/>
      </c>
      <c r="F299" s="24" t="str">
        <f>IF(ISNUMBER('Список деталей'!C307), 'Список деталей'!C307, "")</f>
        <v/>
      </c>
      <c r="G299" s="24" t="str">
        <f>IF(ISNUMBER('Список деталей'!D307), 'Список деталей'!D307, "")</f>
        <v/>
      </c>
      <c r="H299" s="3" t="str">
        <f t="shared" si="4"/>
        <v xml:space="preserve">    </v>
      </c>
      <c r="I299" s="3" t="str">
        <f>IF(ISBLANK('Список деталей'!F307),"",VLOOKUP('Список деталей'!F307,обозначениКромки,4,0))</f>
        <v/>
      </c>
      <c r="J299" s="25" t="str">
        <f>IF(ISBLANK('Список деталей'!G307),"",VLOOKUP('Список деталей'!G307,обозначениКромки,4,0))</f>
        <v/>
      </c>
      <c r="K299" s="25" t="str">
        <f>IF(ISBLANK('Список деталей'!H307),"",VLOOKUP('Список деталей'!H307,обозначениКромки,4,0))</f>
        <v/>
      </c>
      <c r="L299" s="25" t="str">
        <f>IF(ISBLANK('Список деталей'!I307),"",VLOOKUP('Список деталей'!I307,обозначениКромки,4,0))</f>
        <v/>
      </c>
      <c r="M299" s="24" t="str">
        <f>IF(ISBLANK('Список деталей'!Y307),"",('Список деталей'!Y307))</f>
        <v/>
      </c>
      <c r="N299" s="3" t="str">
        <f>IF(ISBLANK('Список деталей'!Z307),"",('Список деталей'!Z307))</f>
        <v/>
      </c>
      <c r="O299" s="3" t="str">
        <f>IF(ISBLANK('Список деталей'!AA307),"",('Список деталей'!AA307))</f>
        <v/>
      </c>
      <c r="P299" s="3" t="str">
        <f>IF(ISBLANK('Список деталей'!AB307),"",('Список деталей'!AB307))</f>
        <v/>
      </c>
      <c r="Q299" s="45">
        <f>VLOOKUP(IF(ISBLANK('Список деталей'!H307)=TRUE,7,'Список деталей'!H307),кромка,2,0)+VLOOKUP(IF(ISBLANK('Список деталей'!I307)=TRUE,7,'Список деталей'!I307),кромка,2,0)+'Список деталей'!C307</f>
        <v>0</v>
      </c>
      <c r="R299" s="45">
        <f>VLOOKUP(IF(ISBLANK('Список деталей'!F307)=TRUE,7,'Список деталей'!F307),кромка,2,0)+VLOOKUP(IF(ISBLANK('Список деталей'!G307)=TRUE,7,'Список деталей'!G307),кромка,2,0)+'Список деталей'!D307</f>
        <v>0</v>
      </c>
      <c r="S299" s="42">
        <f>IF('Список деталей'!H307="",0,1)+IF('Список деталей'!I307="",0,1)+'Список деталей'!C307</f>
        <v>0</v>
      </c>
      <c r="T299" s="42">
        <f>IF('Список деталей'!F307="",0,1)+IF('Список деталей'!G307="",0,1)+'Список деталей'!D307</f>
        <v>0</v>
      </c>
      <c r="U299" s="3" t="str">
        <f>IF(ISBLANK('Список деталей'!K307),"",'Список деталей'!K307)</f>
        <v/>
      </c>
      <c r="V299" s="3" t="str">
        <f>IF(AND('Список деталей'!C307&gt;849,'Список деталей'!D307&gt;849)=TRUE,1*'Список деталей'!E307,"")</f>
        <v/>
      </c>
    </row>
    <row r="300" spans="1:22" x14ac:dyDescent="0.45">
      <c r="A300" s="3" t="str">
        <f>IF(ISNUMBER('Список деталей'!A308), 'Список деталей'!A308, "")</f>
        <v/>
      </c>
      <c r="B300" s="30" t="str">
        <f>IF(ISBLANK('Список деталей'!B308),"",'Список деталей'!B308)</f>
        <v/>
      </c>
      <c r="C300" s="3" t="str">
        <f>IF(ISNUMBER('Список деталей'!C308), $W$4,"")</f>
        <v/>
      </c>
      <c r="D300" s="3" t="str">
        <f>IF(ISNUMBER('Список деталей'!C308), 'Список деталей'!$I$4,"")</f>
        <v/>
      </c>
      <c r="E300" s="24" t="str">
        <f>IF(ISNUMBER('Список деталей'!E308), 'Список деталей'!E308, "")</f>
        <v/>
      </c>
      <c r="F300" s="24" t="str">
        <f>IF(ISNUMBER('Список деталей'!C308), 'Список деталей'!C308, "")</f>
        <v/>
      </c>
      <c r="G300" s="24" t="str">
        <f>IF(ISNUMBER('Список деталей'!D308), 'Список деталей'!D308, "")</f>
        <v/>
      </c>
      <c r="H300" s="3" t="str">
        <f t="shared" si="4"/>
        <v xml:space="preserve">    </v>
      </c>
      <c r="I300" s="3" t="str">
        <f>IF(ISBLANK('Список деталей'!F308),"",VLOOKUP('Список деталей'!F308,обозначениКромки,4,0))</f>
        <v/>
      </c>
      <c r="J300" s="25" t="str">
        <f>IF(ISBLANK('Список деталей'!G308),"",VLOOKUP('Список деталей'!G308,обозначениКромки,4,0))</f>
        <v/>
      </c>
      <c r="K300" s="25" t="str">
        <f>IF(ISBLANK('Список деталей'!H308),"",VLOOKUP('Список деталей'!H308,обозначениКромки,4,0))</f>
        <v/>
      </c>
      <c r="L300" s="25" t="str">
        <f>IF(ISBLANK('Список деталей'!I308),"",VLOOKUP('Список деталей'!I308,обозначениКромки,4,0))</f>
        <v/>
      </c>
      <c r="M300" s="24" t="str">
        <f>IF(ISBLANK('Список деталей'!Y308),"",('Список деталей'!Y308))</f>
        <v/>
      </c>
      <c r="N300" s="3" t="str">
        <f>IF(ISBLANK('Список деталей'!Z308),"",('Список деталей'!Z308))</f>
        <v/>
      </c>
      <c r="O300" s="3" t="str">
        <f>IF(ISBLANK('Список деталей'!AA308),"",('Список деталей'!AA308))</f>
        <v/>
      </c>
      <c r="P300" s="3" t="str">
        <f>IF(ISBLANK('Список деталей'!AB308),"",('Список деталей'!AB308))</f>
        <v/>
      </c>
      <c r="Q300" s="45">
        <f>VLOOKUP(IF(ISBLANK('Список деталей'!H308)=TRUE,7,'Список деталей'!H308),кромка,2,0)+VLOOKUP(IF(ISBLANK('Список деталей'!I308)=TRUE,7,'Список деталей'!I308),кромка,2,0)+'Список деталей'!C308</f>
        <v>0</v>
      </c>
      <c r="R300" s="45">
        <f>VLOOKUP(IF(ISBLANK('Список деталей'!F308)=TRUE,7,'Список деталей'!F308),кромка,2,0)+VLOOKUP(IF(ISBLANK('Список деталей'!G308)=TRUE,7,'Список деталей'!G308),кромка,2,0)+'Список деталей'!D308</f>
        <v>0</v>
      </c>
      <c r="S300" s="42">
        <f>IF('Список деталей'!H308="",0,1)+IF('Список деталей'!I308="",0,1)+'Список деталей'!C308</f>
        <v>0</v>
      </c>
      <c r="T300" s="42">
        <f>IF('Список деталей'!F308="",0,1)+IF('Список деталей'!G308="",0,1)+'Список деталей'!D308</f>
        <v>0</v>
      </c>
      <c r="U300" s="3" t="str">
        <f>IF(ISBLANK('Список деталей'!K308),"",'Список деталей'!K308)</f>
        <v/>
      </c>
      <c r="V300" s="3" t="str">
        <f>IF(AND('Список деталей'!C308&gt;849,'Список деталей'!D308&gt;849)=TRUE,1*'Список деталей'!E308,"")</f>
        <v/>
      </c>
    </row>
    <row r="301" spans="1:22" x14ac:dyDescent="0.4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</row>
    <row r="302" spans="1:22" x14ac:dyDescent="0.4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</row>
    <row r="303" spans="1:22" x14ac:dyDescent="0.4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</row>
    <row r="304" spans="1:22" x14ac:dyDescent="0.4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</row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  <row r="1442" customFormat="1" x14ac:dyDescent="0.45"/>
    <row r="1443" customFormat="1" x14ac:dyDescent="0.45"/>
    <row r="1444" customFormat="1" x14ac:dyDescent="0.45"/>
    <row r="1445" customFormat="1" x14ac:dyDescent="0.45"/>
    <row r="1446" customFormat="1" x14ac:dyDescent="0.45"/>
    <row r="1447" customFormat="1" x14ac:dyDescent="0.45"/>
    <row r="1448" customFormat="1" x14ac:dyDescent="0.45"/>
    <row r="1449" customFormat="1" x14ac:dyDescent="0.45"/>
    <row r="1450" customFormat="1" x14ac:dyDescent="0.45"/>
    <row r="1451" customFormat="1" x14ac:dyDescent="0.45"/>
    <row r="1452" customFormat="1" x14ac:dyDescent="0.45"/>
    <row r="1453" customFormat="1" x14ac:dyDescent="0.45"/>
    <row r="1454" customFormat="1" x14ac:dyDescent="0.45"/>
    <row r="1455" customFormat="1" x14ac:dyDescent="0.45"/>
    <row r="1456" customFormat="1" x14ac:dyDescent="0.45"/>
    <row r="1457" customFormat="1" x14ac:dyDescent="0.45"/>
    <row r="1458" customFormat="1" x14ac:dyDescent="0.45"/>
    <row r="1459" customFormat="1" x14ac:dyDescent="0.45"/>
    <row r="1460" customFormat="1" x14ac:dyDescent="0.45"/>
    <row r="1461" customFormat="1" x14ac:dyDescent="0.45"/>
    <row r="1462" customFormat="1" x14ac:dyDescent="0.45"/>
    <row r="1463" customFormat="1" x14ac:dyDescent="0.45"/>
    <row r="1464" customFormat="1" x14ac:dyDescent="0.45"/>
    <row r="1465" customFormat="1" x14ac:dyDescent="0.45"/>
    <row r="1466" customFormat="1" x14ac:dyDescent="0.45"/>
    <row r="1467" customFormat="1" x14ac:dyDescent="0.45"/>
    <row r="1468" customFormat="1" x14ac:dyDescent="0.45"/>
    <row r="1469" customFormat="1" x14ac:dyDescent="0.45"/>
    <row r="1470" customFormat="1" x14ac:dyDescent="0.45"/>
    <row r="1471" customFormat="1" x14ac:dyDescent="0.45"/>
    <row r="1472" customFormat="1" x14ac:dyDescent="0.45"/>
    <row r="1473" customFormat="1" x14ac:dyDescent="0.45"/>
    <row r="1474" customFormat="1" x14ac:dyDescent="0.45"/>
    <row r="1475" customFormat="1" x14ac:dyDescent="0.45"/>
    <row r="1476" customFormat="1" x14ac:dyDescent="0.45"/>
    <row r="1477" customFormat="1" x14ac:dyDescent="0.45"/>
    <row r="1478" customFormat="1" x14ac:dyDescent="0.45"/>
    <row r="1479" customFormat="1" x14ac:dyDescent="0.45"/>
    <row r="1480" customFormat="1" x14ac:dyDescent="0.45"/>
    <row r="1481" customFormat="1" x14ac:dyDescent="0.45"/>
    <row r="1482" customFormat="1" x14ac:dyDescent="0.45"/>
    <row r="1483" customFormat="1" x14ac:dyDescent="0.45"/>
    <row r="1484" customFormat="1" x14ac:dyDescent="0.45"/>
    <row r="1485" customFormat="1" x14ac:dyDescent="0.45"/>
    <row r="1486" customFormat="1" x14ac:dyDescent="0.45"/>
    <row r="1487" customFormat="1" x14ac:dyDescent="0.45"/>
    <row r="1488" customFormat="1" x14ac:dyDescent="0.45"/>
    <row r="1489" customFormat="1" x14ac:dyDescent="0.45"/>
    <row r="1490" customFormat="1" x14ac:dyDescent="0.45"/>
    <row r="1491" customFormat="1" x14ac:dyDescent="0.45"/>
    <row r="1492" customFormat="1" x14ac:dyDescent="0.45"/>
    <row r="1493" customFormat="1" x14ac:dyDescent="0.45"/>
    <row r="1494" customFormat="1" x14ac:dyDescent="0.45"/>
    <row r="1495" customFormat="1" x14ac:dyDescent="0.45"/>
    <row r="1496" customFormat="1" x14ac:dyDescent="0.45"/>
    <row r="1497" customFormat="1" x14ac:dyDescent="0.45"/>
    <row r="1498" customFormat="1" x14ac:dyDescent="0.45"/>
    <row r="1499" customFormat="1" x14ac:dyDescent="0.45"/>
    <row r="1500" customFormat="1" x14ac:dyDescent="0.45"/>
    <row r="1501" customFormat="1" x14ac:dyDescent="0.45"/>
    <row r="1502" customFormat="1" x14ac:dyDescent="0.45"/>
    <row r="1503" customFormat="1" x14ac:dyDescent="0.45"/>
    <row r="1504" customFormat="1" x14ac:dyDescent="0.45"/>
    <row r="1505" customFormat="1" x14ac:dyDescent="0.45"/>
    <row r="1506" customFormat="1" x14ac:dyDescent="0.45"/>
    <row r="1507" customFormat="1" x14ac:dyDescent="0.45"/>
    <row r="1508" customFormat="1" x14ac:dyDescent="0.45"/>
    <row r="1509" customFormat="1" x14ac:dyDescent="0.45"/>
    <row r="1510" customFormat="1" x14ac:dyDescent="0.45"/>
    <row r="1511" customFormat="1" x14ac:dyDescent="0.45"/>
    <row r="1512" customFormat="1" x14ac:dyDescent="0.45"/>
    <row r="1513" customFormat="1" x14ac:dyDescent="0.45"/>
    <row r="1514" customFormat="1" x14ac:dyDescent="0.45"/>
    <row r="1515" customFormat="1" x14ac:dyDescent="0.45"/>
    <row r="1516" customFormat="1" x14ac:dyDescent="0.45"/>
    <row r="1517" customFormat="1" x14ac:dyDescent="0.45"/>
    <row r="1518" customFormat="1" x14ac:dyDescent="0.45"/>
    <row r="1519" customFormat="1" x14ac:dyDescent="0.45"/>
    <row r="1520" customFormat="1" x14ac:dyDescent="0.45"/>
    <row r="1521" customFormat="1" x14ac:dyDescent="0.45"/>
    <row r="1522" customFormat="1" x14ac:dyDescent="0.45"/>
    <row r="1523" customFormat="1" x14ac:dyDescent="0.45"/>
    <row r="1524" customFormat="1" x14ac:dyDescent="0.45"/>
    <row r="1525" customFormat="1" x14ac:dyDescent="0.45"/>
    <row r="1526" customFormat="1" x14ac:dyDescent="0.45"/>
    <row r="1527" customFormat="1" x14ac:dyDescent="0.45"/>
    <row r="1528" customFormat="1" x14ac:dyDescent="0.45"/>
    <row r="1529" customFormat="1" x14ac:dyDescent="0.45"/>
    <row r="1530" customFormat="1" x14ac:dyDescent="0.45"/>
    <row r="1531" customFormat="1" x14ac:dyDescent="0.45"/>
    <row r="1532" customFormat="1" x14ac:dyDescent="0.45"/>
    <row r="1533" customFormat="1" x14ac:dyDescent="0.45"/>
    <row r="1534" customFormat="1" x14ac:dyDescent="0.45"/>
    <row r="1535" customFormat="1" x14ac:dyDescent="0.45"/>
    <row r="1536" customFormat="1" x14ac:dyDescent="0.45"/>
    <row r="1537" customFormat="1" x14ac:dyDescent="0.45"/>
    <row r="1538" customFormat="1" x14ac:dyDescent="0.45"/>
    <row r="1539" customFormat="1" x14ac:dyDescent="0.45"/>
    <row r="1540" customFormat="1" x14ac:dyDescent="0.45"/>
    <row r="1541" customFormat="1" x14ac:dyDescent="0.45"/>
    <row r="1542" customFormat="1" x14ac:dyDescent="0.45"/>
    <row r="1543" customFormat="1" x14ac:dyDescent="0.45"/>
    <row r="1544" customFormat="1" x14ac:dyDescent="0.45"/>
    <row r="1545" customFormat="1" x14ac:dyDescent="0.45"/>
    <row r="1546" customFormat="1" x14ac:dyDescent="0.45"/>
    <row r="1547" customFormat="1" x14ac:dyDescent="0.45"/>
    <row r="1548" customFormat="1" x14ac:dyDescent="0.45"/>
    <row r="1549" customFormat="1" x14ac:dyDescent="0.45"/>
    <row r="1550" customFormat="1" x14ac:dyDescent="0.45"/>
    <row r="1551" customFormat="1" x14ac:dyDescent="0.45"/>
    <row r="1552" customFormat="1" x14ac:dyDescent="0.45"/>
    <row r="1553" customFormat="1" x14ac:dyDescent="0.45"/>
    <row r="1554" customFormat="1" x14ac:dyDescent="0.45"/>
    <row r="1555" customFormat="1" x14ac:dyDescent="0.45"/>
    <row r="1556" customFormat="1" x14ac:dyDescent="0.45"/>
    <row r="1557" customFormat="1" x14ac:dyDescent="0.45"/>
    <row r="1558" customFormat="1" x14ac:dyDescent="0.45"/>
    <row r="1559" customFormat="1" x14ac:dyDescent="0.45"/>
    <row r="1560" customFormat="1" x14ac:dyDescent="0.45"/>
    <row r="1561" customFormat="1" x14ac:dyDescent="0.45"/>
    <row r="1562" customFormat="1" x14ac:dyDescent="0.45"/>
    <row r="1563" customFormat="1" x14ac:dyDescent="0.45"/>
    <row r="1564" customFormat="1" x14ac:dyDescent="0.45"/>
    <row r="1565" customFormat="1" x14ac:dyDescent="0.45"/>
    <row r="1566" customFormat="1" x14ac:dyDescent="0.45"/>
    <row r="1567" customFormat="1" x14ac:dyDescent="0.45"/>
    <row r="1568" customFormat="1" x14ac:dyDescent="0.45"/>
    <row r="1569" customFormat="1" x14ac:dyDescent="0.45"/>
    <row r="1570" customFormat="1" x14ac:dyDescent="0.45"/>
    <row r="1571" customFormat="1" x14ac:dyDescent="0.45"/>
    <row r="1572" customFormat="1" x14ac:dyDescent="0.45"/>
    <row r="1573" customFormat="1" x14ac:dyDescent="0.45"/>
    <row r="1574" customFormat="1" x14ac:dyDescent="0.45"/>
    <row r="1575" customFormat="1" x14ac:dyDescent="0.45"/>
    <row r="1576" customFormat="1" x14ac:dyDescent="0.45"/>
    <row r="1577" customFormat="1" x14ac:dyDescent="0.45"/>
    <row r="1578" customFormat="1" x14ac:dyDescent="0.45"/>
    <row r="1579" customFormat="1" x14ac:dyDescent="0.45"/>
    <row r="1580" customFormat="1" x14ac:dyDescent="0.45"/>
    <row r="1581" customFormat="1" x14ac:dyDescent="0.45"/>
    <row r="1582" customFormat="1" x14ac:dyDescent="0.45"/>
    <row r="1583" customFormat="1" x14ac:dyDescent="0.45"/>
    <row r="1584" customFormat="1" x14ac:dyDescent="0.45"/>
    <row r="1585" customFormat="1" x14ac:dyDescent="0.45"/>
    <row r="1586" customFormat="1" x14ac:dyDescent="0.45"/>
    <row r="1587" customFormat="1" x14ac:dyDescent="0.45"/>
    <row r="1588" customFormat="1" x14ac:dyDescent="0.45"/>
    <row r="1589" customFormat="1" x14ac:dyDescent="0.45"/>
    <row r="1590" customFormat="1" x14ac:dyDescent="0.45"/>
    <row r="1591" customFormat="1" x14ac:dyDescent="0.45"/>
    <row r="1592" customFormat="1" x14ac:dyDescent="0.45"/>
    <row r="1593" customFormat="1" x14ac:dyDescent="0.45"/>
    <row r="1594" customFormat="1" x14ac:dyDescent="0.45"/>
    <row r="1595" customFormat="1" x14ac:dyDescent="0.45"/>
    <row r="1596" customFormat="1" x14ac:dyDescent="0.45"/>
    <row r="1597" customFormat="1" x14ac:dyDescent="0.45"/>
    <row r="1598" customFormat="1" x14ac:dyDescent="0.45"/>
    <row r="1599" customFormat="1" x14ac:dyDescent="0.45"/>
    <row r="1600" customFormat="1" x14ac:dyDescent="0.45"/>
    <row r="1601" customFormat="1" x14ac:dyDescent="0.45"/>
    <row r="1602" customFormat="1" x14ac:dyDescent="0.45"/>
    <row r="1603" customFormat="1" x14ac:dyDescent="0.45"/>
    <row r="1604" customFormat="1" x14ac:dyDescent="0.45"/>
    <row r="1605" customFormat="1" x14ac:dyDescent="0.45"/>
    <row r="1606" customFormat="1" x14ac:dyDescent="0.45"/>
    <row r="1607" customFormat="1" x14ac:dyDescent="0.45"/>
    <row r="1608" customFormat="1" x14ac:dyDescent="0.45"/>
    <row r="1609" customFormat="1" x14ac:dyDescent="0.45"/>
    <row r="1610" customFormat="1" x14ac:dyDescent="0.45"/>
    <row r="1611" customFormat="1" x14ac:dyDescent="0.45"/>
    <row r="1612" customFormat="1" x14ac:dyDescent="0.45"/>
    <row r="1613" customFormat="1" x14ac:dyDescent="0.45"/>
    <row r="1614" customFormat="1" x14ac:dyDescent="0.45"/>
    <row r="1615" customFormat="1" x14ac:dyDescent="0.45"/>
    <row r="1616" customFormat="1" x14ac:dyDescent="0.45"/>
    <row r="1617" customFormat="1" x14ac:dyDescent="0.45"/>
    <row r="1618" customFormat="1" x14ac:dyDescent="0.45"/>
    <row r="1619" customFormat="1" x14ac:dyDescent="0.45"/>
    <row r="1620" customFormat="1" x14ac:dyDescent="0.45"/>
    <row r="1621" customFormat="1" x14ac:dyDescent="0.45"/>
    <row r="1622" customFormat="1" x14ac:dyDescent="0.45"/>
    <row r="1623" customFormat="1" x14ac:dyDescent="0.45"/>
    <row r="1624" customFormat="1" x14ac:dyDescent="0.45"/>
    <row r="1625" customFormat="1" x14ac:dyDescent="0.45"/>
    <row r="1626" customFormat="1" x14ac:dyDescent="0.45"/>
    <row r="1627" customFormat="1" x14ac:dyDescent="0.45"/>
    <row r="1628" customFormat="1" x14ac:dyDescent="0.45"/>
    <row r="1629" customFormat="1" x14ac:dyDescent="0.45"/>
    <row r="1630" customFormat="1" x14ac:dyDescent="0.45"/>
    <row r="1631" customFormat="1" x14ac:dyDescent="0.45"/>
    <row r="1632" customFormat="1" x14ac:dyDescent="0.45"/>
    <row r="1633" customFormat="1" x14ac:dyDescent="0.45"/>
    <row r="1634" customFormat="1" x14ac:dyDescent="0.45"/>
    <row r="1635" customFormat="1" x14ac:dyDescent="0.45"/>
    <row r="1636" customFormat="1" x14ac:dyDescent="0.45"/>
    <row r="1637" customFormat="1" x14ac:dyDescent="0.45"/>
    <row r="1638" customFormat="1" x14ac:dyDescent="0.45"/>
    <row r="1639" customFormat="1" x14ac:dyDescent="0.45"/>
    <row r="1640" customFormat="1" x14ac:dyDescent="0.45"/>
    <row r="1641" customFormat="1" x14ac:dyDescent="0.45"/>
    <row r="1642" customFormat="1" x14ac:dyDescent="0.45"/>
    <row r="1643" customFormat="1" x14ac:dyDescent="0.45"/>
    <row r="1644" customFormat="1" x14ac:dyDescent="0.45"/>
    <row r="1645" customFormat="1" x14ac:dyDescent="0.45"/>
    <row r="1646" customFormat="1" x14ac:dyDescent="0.45"/>
    <row r="1647" customFormat="1" x14ac:dyDescent="0.45"/>
    <row r="1648" customFormat="1" x14ac:dyDescent="0.45"/>
    <row r="1649" customFormat="1" x14ac:dyDescent="0.45"/>
    <row r="1650" customFormat="1" x14ac:dyDescent="0.45"/>
    <row r="1651" customFormat="1" x14ac:dyDescent="0.45"/>
    <row r="1652" customFormat="1" x14ac:dyDescent="0.45"/>
    <row r="1653" customFormat="1" x14ac:dyDescent="0.45"/>
    <row r="1654" customFormat="1" x14ac:dyDescent="0.45"/>
    <row r="1655" customFormat="1" x14ac:dyDescent="0.45"/>
    <row r="1656" customFormat="1" x14ac:dyDescent="0.45"/>
    <row r="1657" customFormat="1" x14ac:dyDescent="0.45"/>
    <row r="1658" customFormat="1" x14ac:dyDescent="0.45"/>
    <row r="1659" customFormat="1" x14ac:dyDescent="0.45"/>
    <row r="1660" customFormat="1" x14ac:dyDescent="0.45"/>
    <row r="1661" customFormat="1" x14ac:dyDescent="0.45"/>
    <row r="1662" customFormat="1" x14ac:dyDescent="0.45"/>
    <row r="1663" customFormat="1" x14ac:dyDescent="0.45"/>
    <row r="1664" customFormat="1" x14ac:dyDescent="0.45"/>
    <row r="1665" customFormat="1" x14ac:dyDescent="0.45"/>
    <row r="1666" customFormat="1" x14ac:dyDescent="0.45"/>
    <row r="1667" customFormat="1" x14ac:dyDescent="0.45"/>
    <row r="1668" customFormat="1" x14ac:dyDescent="0.45"/>
    <row r="1669" customFormat="1" x14ac:dyDescent="0.45"/>
    <row r="1670" customFormat="1" x14ac:dyDescent="0.45"/>
    <row r="1671" customFormat="1" x14ac:dyDescent="0.45"/>
    <row r="1672" customFormat="1" x14ac:dyDescent="0.45"/>
    <row r="1673" customFormat="1" x14ac:dyDescent="0.45"/>
    <row r="1674" customFormat="1" x14ac:dyDescent="0.45"/>
    <row r="1675" customFormat="1" x14ac:dyDescent="0.45"/>
    <row r="1676" customFormat="1" x14ac:dyDescent="0.45"/>
    <row r="1677" customFormat="1" x14ac:dyDescent="0.45"/>
    <row r="1678" customFormat="1" x14ac:dyDescent="0.45"/>
    <row r="1679" customFormat="1" x14ac:dyDescent="0.45"/>
    <row r="1680" customFormat="1" x14ac:dyDescent="0.45"/>
    <row r="1681" customFormat="1" x14ac:dyDescent="0.45"/>
    <row r="1682" customFormat="1" x14ac:dyDescent="0.45"/>
    <row r="1683" customFormat="1" x14ac:dyDescent="0.45"/>
    <row r="1684" customFormat="1" x14ac:dyDescent="0.45"/>
    <row r="1685" customFormat="1" x14ac:dyDescent="0.45"/>
    <row r="1686" customFormat="1" x14ac:dyDescent="0.45"/>
    <row r="1687" customFormat="1" x14ac:dyDescent="0.45"/>
    <row r="1688" customFormat="1" x14ac:dyDescent="0.45"/>
    <row r="1689" customFormat="1" x14ac:dyDescent="0.45"/>
    <row r="1690" customFormat="1" x14ac:dyDescent="0.45"/>
    <row r="1691" customFormat="1" x14ac:dyDescent="0.45"/>
    <row r="1692" customFormat="1" x14ac:dyDescent="0.45"/>
    <row r="1693" customFormat="1" x14ac:dyDescent="0.45"/>
    <row r="1694" customFormat="1" x14ac:dyDescent="0.45"/>
    <row r="1695" customFormat="1" x14ac:dyDescent="0.45"/>
    <row r="1696" customFormat="1" x14ac:dyDescent="0.45"/>
    <row r="1697" customFormat="1" x14ac:dyDescent="0.45"/>
    <row r="1698" customFormat="1" x14ac:dyDescent="0.45"/>
    <row r="1699" customFormat="1" x14ac:dyDescent="0.45"/>
    <row r="1700" customFormat="1" x14ac:dyDescent="0.45"/>
    <row r="1701" customFormat="1" x14ac:dyDescent="0.45"/>
    <row r="1702" customFormat="1" x14ac:dyDescent="0.45"/>
    <row r="1703" customFormat="1" x14ac:dyDescent="0.45"/>
    <row r="1704" customFormat="1" x14ac:dyDescent="0.45"/>
    <row r="1705" customFormat="1" x14ac:dyDescent="0.45"/>
    <row r="1706" customFormat="1" x14ac:dyDescent="0.45"/>
    <row r="1707" customFormat="1" x14ac:dyDescent="0.45"/>
    <row r="1708" customFormat="1" x14ac:dyDescent="0.45"/>
    <row r="1709" customFormat="1" x14ac:dyDescent="0.45"/>
    <row r="1710" customFormat="1" x14ac:dyDescent="0.45"/>
    <row r="1711" customFormat="1" x14ac:dyDescent="0.45"/>
    <row r="1712" customFormat="1" x14ac:dyDescent="0.45"/>
    <row r="1713" customFormat="1" x14ac:dyDescent="0.45"/>
    <row r="1714" customFormat="1" x14ac:dyDescent="0.45"/>
    <row r="1715" customFormat="1" x14ac:dyDescent="0.45"/>
    <row r="1716" customFormat="1" x14ac:dyDescent="0.45"/>
    <row r="1717" customFormat="1" x14ac:dyDescent="0.45"/>
    <row r="1718" customFormat="1" x14ac:dyDescent="0.45"/>
    <row r="1719" customFormat="1" x14ac:dyDescent="0.45"/>
    <row r="1720" customFormat="1" x14ac:dyDescent="0.45"/>
    <row r="1721" customFormat="1" x14ac:dyDescent="0.45"/>
    <row r="1722" customFormat="1" x14ac:dyDescent="0.45"/>
    <row r="1723" customFormat="1" x14ac:dyDescent="0.45"/>
    <row r="1724" customFormat="1" x14ac:dyDescent="0.45"/>
    <row r="1725" customFormat="1" x14ac:dyDescent="0.45"/>
    <row r="1726" customFormat="1" x14ac:dyDescent="0.45"/>
    <row r="1727" customFormat="1" x14ac:dyDescent="0.45"/>
    <row r="1728" customFormat="1" x14ac:dyDescent="0.45"/>
    <row r="1729" customFormat="1" x14ac:dyDescent="0.45"/>
    <row r="1730" customFormat="1" x14ac:dyDescent="0.45"/>
    <row r="1731" customFormat="1" x14ac:dyDescent="0.45"/>
    <row r="1732" customFormat="1" x14ac:dyDescent="0.45"/>
    <row r="1733" customFormat="1" x14ac:dyDescent="0.45"/>
    <row r="1734" customFormat="1" x14ac:dyDescent="0.45"/>
    <row r="1735" customFormat="1" x14ac:dyDescent="0.45"/>
    <row r="1736" customFormat="1" x14ac:dyDescent="0.45"/>
    <row r="1737" customFormat="1" x14ac:dyDescent="0.45"/>
    <row r="1738" customFormat="1" x14ac:dyDescent="0.45"/>
    <row r="1739" customFormat="1" x14ac:dyDescent="0.45"/>
    <row r="1740" customFormat="1" x14ac:dyDescent="0.45"/>
    <row r="1741" customFormat="1" x14ac:dyDescent="0.45"/>
    <row r="1742" customFormat="1" x14ac:dyDescent="0.45"/>
    <row r="1743" customFormat="1" x14ac:dyDescent="0.45"/>
    <row r="1744" customFormat="1" x14ac:dyDescent="0.45"/>
    <row r="1745" customFormat="1" x14ac:dyDescent="0.45"/>
    <row r="1746" customFormat="1" x14ac:dyDescent="0.45"/>
    <row r="1747" customFormat="1" x14ac:dyDescent="0.45"/>
    <row r="1748" customFormat="1" x14ac:dyDescent="0.45"/>
    <row r="1749" customFormat="1" x14ac:dyDescent="0.45"/>
    <row r="1750" customFormat="1" x14ac:dyDescent="0.45"/>
    <row r="1751" customFormat="1" x14ac:dyDescent="0.45"/>
    <row r="1752" customFormat="1" x14ac:dyDescent="0.45"/>
    <row r="1753" customFormat="1" x14ac:dyDescent="0.45"/>
    <row r="1754" customFormat="1" x14ac:dyDescent="0.45"/>
    <row r="1755" customFormat="1" x14ac:dyDescent="0.45"/>
    <row r="1756" customFormat="1" x14ac:dyDescent="0.45"/>
    <row r="1757" customFormat="1" x14ac:dyDescent="0.45"/>
    <row r="1758" customFormat="1" x14ac:dyDescent="0.45"/>
    <row r="1759" customFormat="1" x14ac:dyDescent="0.45"/>
    <row r="1760" customFormat="1" x14ac:dyDescent="0.45"/>
    <row r="1761" customFormat="1" x14ac:dyDescent="0.45"/>
    <row r="1762" customFormat="1" x14ac:dyDescent="0.45"/>
    <row r="1763" customFormat="1" x14ac:dyDescent="0.45"/>
    <row r="1764" customFormat="1" x14ac:dyDescent="0.45"/>
    <row r="1765" customFormat="1" x14ac:dyDescent="0.45"/>
    <row r="1766" customFormat="1" x14ac:dyDescent="0.45"/>
    <row r="1767" customFormat="1" x14ac:dyDescent="0.45"/>
    <row r="1768" customFormat="1" x14ac:dyDescent="0.45"/>
    <row r="1769" customFormat="1" x14ac:dyDescent="0.45"/>
    <row r="1770" customFormat="1" x14ac:dyDescent="0.45"/>
    <row r="1771" customFormat="1" x14ac:dyDescent="0.45"/>
    <row r="1772" customFormat="1" x14ac:dyDescent="0.45"/>
    <row r="1773" customFormat="1" x14ac:dyDescent="0.45"/>
    <row r="1774" customFormat="1" x14ac:dyDescent="0.45"/>
    <row r="1775" customFormat="1" x14ac:dyDescent="0.45"/>
    <row r="1776" customFormat="1" x14ac:dyDescent="0.45"/>
    <row r="1777" customFormat="1" x14ac:dyDescent="0.45"/>
    <row r="1778" customFormat="1" x14ac:dyDescent="0.45"/>
    <row r="1779" customFormat="1" x14ac:dyDescent="0.45"/>
    <row r="1780" customFormat="1" x14ac:dyDescent="0.45"/>
    <row r="1781" customFormat="1" x14ac:dyDescent="0.45"/>
    <row r="1782" customFormat="1" x14ac:dyDescent="0.45"/>
    <row r="1783" customFormat="1" x14ac:dyDescent="0.45"/>
    <row r="1784" customFormat="1" x14ac:dyDescent="0.45"/>
    <row r="1785" customFormat="1" x14ac:dyDescent="0.45"/>
    <row r="1786" customFormat="1" x14ac:dyDescent="0.45"/>
    <row r="1787" customFormat="1" x14ac:dyDescent="0.45"/>
    <row r="1788" customFormat="1" x14ac:dyDescent="0.45"/>
    <row r="1789" customFormat="1" x14ac:dyDescent="0.45"/>
    <row r="1790" customFormat="1" x14ac:dyDescent="0.45"/>
    <row r="1791" customFormat="1" x14ac:dyDescent="0.45"/>
    <row r="1792" customFormat="1" x14ac:dyDescent="0.45"/>
    <row r="1793" customFormat="1" x14ac:dyDescent="0.45"/>
    <row r="1794" customFormat="1" x14ac:dyDescent="0.45"/>
    <row r="1795" customFormat="1" x14ac:dyDescent="0.45"/>
    <row r="1796" customFormat="1" x14ac:dyDescent="0.45"/>
    <row r="1797" customFormat="1" x14ac:dyDescent="0.45"/>
    <row r="1798" customFormat="1" x14ac:dyDescent="0.45"/>
    <row r="1799" customFormat="1" x14ac:dyDescent="0.45"/>
    <row r="1800" customFormat="1" x14ac:dyDescent="0.45"/>
    <row r="1801" customFormat="1" x14ac:dyDescent="0.45"/>
    <row r="1802" customFormat="1" x14ac:dyDescent="0.45"/>
    <row r="1803" customFormat="1" x14ac:dyDescent="0.45"/>
    <row r="1804" customFormat="1" x14ac:dyDescent="0.45"/>
    <row r="1805" customFormat="1" x14ac:dyDescent="0.45"/>
    <row r="1806" customFormat="1" x14ac:dyDescent="0.45"/>
    <row r="1807" customFormat="1" x14ac:dyDescent="0.45"/>
    <row r="1808" customFormat="1" x14ac:dyDescent="0.45"/>
    <row r="1809" customFormat="1" x14ac:dyDescent="0.45"/>
    <row r="1810" customFormat="1" x14ac:dyDescent="0.45"/>
    <row r="1811" customFormat="1" x14ac:dyDescent="0.45"/>
    <row r="1812" customFormat="1" x14ac:dyDescent="0.45"/>
    <row r="1813" customFormat="1" x14ac:dyDescent="0.45"/>
    <row r="1814" customFormat="1" x14ac:dyDescent="0.45"/>
    <row r="1815" customFormat="1" x14ac:dyDescent="0.45"/>
    <row r="1816" customFormat="1" x14ac:dyDescent="0.45"/>
    <row r="1817" customFormat="1" x14ac:dyDescent="0.45"/>
    <row r="1818" customFormat="1" x14ac:dyDescent="0.45"/>
    <row r="1819" customFormat="1" x14ac:dyDescent="0.45"/>
    <row r="1820" customFormat="1" x14ac:dyDescent="0.45"/>
    <row r="1821" customFormat="1" x14ac:dyDescent="0.45"/>
    <row r="1822" customFormat="1" x14ac:dyDescent="0.45"/>
    <row r="1823" customFormat="1" x14ac:dyDescent="0.45"/>
    <row r="1824" customFormat="1" x14ac:dyDescent="0.45"/>
    <row r="1825" customFormat="1" x14ac:dyDescent="0.45"/>
    <row r="1826" customFormat="1" x14ac:dyDescent="0.45"/>
    <row r="1827" customFormat="1" x14ac:dyDescent="0.45"/>
    <row r="1828" customFormat="1" x14ac:dyDescent="0.45"/>
    <row r="1829" customFormat="1" x14ac:dyDescent="0.45"/>
    <row r="1830" customFormat="1" x14ac:dyDescent="0.45"/>
    <row r="1831" customFormat="1" x14ac:dyDescent="0.45"/>
    <row r="1832" customFormat="1" x14ac:dyDescent="0.45"/>
    <row r="1833" customFormat="1" x14ac:dyDescent="0.45"/>
    <row r="1834" customFormat="1" x14ac:dyDescent="0.45"/>
    <row r="1835" customFormat="1" x14ac:dyDescent="0.45"/>
    <row r="1836" customFormat="1" x14ac:dyDescent="0.45"/>
    <row r="1837" customFormat="1" x14ac:dyDescent="0.45"/>
    <row r="1838" customFormat="1" x14ac:dyDescent="0.45"/>
    <row r="1839" customFormat="1" x14ac:dyDescent="0.45"/>
    <row r="1840" customFormat="1" x14ac:dyDescent="0.45"/>
    <row r="1841" customFormat="1" x14ac:dyDescent="0.45"/>
    <row r="1842" customFormat="1" x14ac:dyDescent="0.45"/>
    <row r="1843" customFormat="1" x14ac:dyDescent="0.45"/>
    <row r="1844" customFormat="1" x14ac:dyDescent="0.45"/>
    <row r="1845" customFormat="1" x14ac:dyDescent="0.45"/>
    <row r="1846" customFormat="1" x14ac:dyDescent="0.45"/>
    <row r="1847" customFormat="1" x14ac:dyDescent="0.45"/>
    <row r="1848" customFormat="1" x14ac:dyDescent="0.45"/>
    <row r="1849" customFormat="1" x14ac:dyDescent="0.45"/>
    <row r="1850" customFormat="1" x14ac:dyDescent="0.45"/>
    <row r="1851" customFormat="1" x14ac:dyDescent="0.45"/>
    <row r="1852" customFormat="1" x14ac:dyDescent="0.45"/>
    <row r="1853" customFormat="1" x14ac:dyDescent="0.45"/>
    <row r="1854" customFormat="1" x14ac:dyDescent="0.45"/>
    <row r="1855" customFormat="1" x14ac:dyDescent="0.45"/>
    <row r="1856" customFormat="1" x14ac:dyDescent="0.45"/>
    <row r="1857" customFormat="1" x14ac:dyDescent="0.45"/>
    <row r="1858" customFormat="1" x14ac:dyDescent="0.45"/>
    <row r="1859" customFormat="1" x14ac:dyDescent="0.45"/>
    <row r="1860" customFormat="1" x14ac:dyDescent="0.45"/>
    <row r="1861" customFormat="1" x14ac:dyDescent="0.45"/>
    <row r="1862" customFormat="1" x14ac:dyDescent="0.45"/>
    <row r="1863" customFormat="1" x14ac:dyDescent="0.45"/>
    <row r="1864" customFormat="1" x14ac:dyDescent="0.45"/>
    <row r="1865" customFormat="1" x14ac:dyDescent="0.45"/>
    <row r="1866" customFormat="1" x14ac:dyDescent="0.45"/>
    <row r="1867" customFormat="1" x14ac:dyDescent="0.45"/>
    <row r="1868" customFormat="1" x14ac:dyDescent="0.45"/>
    <row r="1869" customFormat="1" x14ac:dyDescent="0.45"/>
    <row r="1870" customFormat="1" x14ac:dyDescent="0.45"/>
    <row r="1871" customFormat="1" x14ac:dyDescent="0.45"/>
    <row r="1872" customFormat="1" x14ac:dyDescent="0.45"/>
    <row r="1873" customFormat="1" x14ac:dyDescent="0.45"/>
    <row r="1874" customFormat="1" x14ac:dyDescent="0.45"/>
    <row r="1875" customFormat="1" x14ac:dyDescent="0.45"/>
    <row r="1876" customFormat="1" x14ac:dyDescent="0.45"/>
    <row r="1877" customFormat="1" x14ac:dyDescent="0.45"/>
    <row r="1878" customFormat="1" x14ac:dyDescent="0.45"/>
    <row r="1879" customFormat="1" x14ac:dyDescent="0.45"/>
    <row r="1880" customFormat="1" x14ac:dyDescent="0.45"/>
    <row r="1881" customFormat="1" x14ac:dyDescent="0.45"/>
    <row r="1882" customFormat="1" x14ac:dyDescent="0.45"/>
    <row r="1883" customFormat="1" x14ac:dyDescent="0.45"/>
    <row r="1884" customFormat="1" x14ac:dyDescent="0.45"/>
    <row r="1885" customFormat="1" x14ac:dyDescent="0.45"/>
    <row r="1886" customFormat="1" x14ac:dyDescent="0.45"/>
    <row r="1887" customFormat="1" x14ac:dyDescent="0.45"/>
    <row r="1888" customFormat="1" x14ac:dyDescent="0.45"/>
    <row r="1889" customFormat="1" x14ac:dyDescent="0.45"/>
    <row r="1890" customFormat="1" x14ac:dyDescent="0.45"/>
    <row r="1891" customFormat="1" x14ac:dyDescent="0.45"/>
    <row r="1892" customFormat="1" x14ac:dyDescent="0.45"/>
    <row r="1893" customFormat="1" x14ac:dyDescent="0.45"/>
    <row r="1894" customFormat="1" x14ac:dyDescent="0.45"/>
    <row r="1895" customFormat="1" x14ac:dyDescent="0.45"/>
    <row r="1896" customFormat="1" x14ac:dyDescent="0.45"/>
    <row r="1897" customFormat="1" x14ac:dyDescent="0.45"/>
    <row r="1898" customFormat="1" x14ac:dyDescent="0.45"/>
    <row r="1899" customFormat="1" x14ac:dyDescent="0.45"/>
    <row r="1900" customFormat="1" x14ac:dyDescent="0.45"/>
    <row r="1901" customFormat="1" x14ac:dyDescent="0.45"/>
    <row r="1902" customFormat="1" x14ac:dyDescent="0.45"/>
    <row r="1903" customFormat="1" x14ac:dyDescent="0.45"/>
    <row r="1904" customFormat="1" x14ac:dyDescent="0.45"/>
    <row r="1905" customFormat="1" x14ac:dyDescent="0.45"/>
    <row r="1906" customFormat="1" x14ac:dyDescent="0.45"/>
    <row r="1907" customFormat="1" x14ac:dyDescent="0.45"/>
    <row r="1908" customFormat="1" x14ac:dyDescent="0.45"/>
    <row r="1909" customFormat="1" x14ac:dyDescent="0.45"/>
    <row r="1910" customFormat="1" x14ac:dyDescent="0.45"/>
    <row r="1911" customFormat="1" x14ac:dyDescent="0.45"/>
    <row r="1912" customFormat="1" x14ac:dyDescent="0.45"/>
    <row r="1913" customFormat="1" x14ac:dyDescent="0.45"/>
    <row r="1914" customFormat="1" x14ac:dyDescent="0.45"/>
    <row r="1915" customFormat="1" x14ac:dyDescent="0.45"/>
    <row r="1916" customFormat="1" x14ac:dyDescent="0.45"/>
    <row r="1917" customFormat="1" x14ac:dyDescent="0.45"/>
    <row r="1918" customFormat="1" x14ac:dyDescent="0.45"/>
    <row r="1919" customFormat="1" x14ac:dyDescent="0.45"/>
    <row r="1920" customFormat="1" x14ac:dyDescent="0.45"/>
    <row r="1921" customFormat="1" x14ac:dyDescent="0.45"/>
    <row r="1922" customFormat="1" x14ac:dyDescent="0.45"/>
    <row r="1923" customFormat="1" x14ac:dyDescent="0.45"/>
    <row r="1924" customFormat="1" x14ac:dyDescent="0.45"/>
    <row r="1925" customFormat="1" x14ac:dyDescent="0.45"/>
    <row r="1926" customFormat="1" x14ac:dyDescent="0.45"/>
    <row r="1927" customFormat="1" x14ac:dyDescent="0.45"/>
    <row r="1928" customFormat="1" x14ac:dyDescent="0.45"/>
    <row r="1929" customFormat="1" x14ac:dyDescent="0.45"/>
    <row r="1930" customFormat="1" x14ac:dyDescent="0.45"/>
    <row r="1931" customFormat="1" x14ac:dyDescent="0.45"/>
    <row r="1932" customFormat="1" x14ac:dyDescent="0.45"/>
    <row r="1933" customFormat="1" x14ac:dyDescent="0.45"/>
    <row r="1934" customFormat="1" x14ac:dyDescent="0.45"/>
    <row r="1935" customFormat="1" x14ac:dyDescent="0.45"/>
    <row r="1936" customFormat="1" x14ac:dyDescent="0.45"/>
    <row r="1937" customFormat="1" x14ac:dyDescent="0.45"/>
    <row r="1938" customFormat="1" x14ac:dyDescent="0.45"/>
    <row r="1939" customFormat="1" x14ac:dyDescent="0.45"/>
    <row r="1940" customFormat="1" x14ac:dyDescent="0.45"/>
    <row r="1941" customFormat="1" x14ac:dyDescent="0.45"/>
    <row r="1942" customFormat="1" x14ac:dyDescent="0.45"/>
    <row r="1943" customFormat="1" x14ac:dyDescent="0.45"/>
    <row r="1944" customFormat="1" x14ac:dyDescent="0.45"/>
    <row r="1945" customFormat="1" x14ac:dyDescent="0.45"/>
    <row r="1946" customFormat="1" x14ac:dyDescent="0.45"/>
    <row r="1947" customFormat="1" x14ac:dyDescent="0.45"/>
    <row r="1948" customFormat="1" x14ac:dyDescent="0.45"/>
    <row r="1949" customFormat="1" x14ac:dyDescent="0.45"/>
    <row r="1950" customFormat="1" x14ac:dyDescent="0.45"/>
    <row r="1951" customFormat="1" x14ac:dyDescent="0.45"/>
    <row r="1952" customFormat="1" x14ac:dyDescent="0.45"/>
    <row r="1953" customFormat="1" x14ac:dyDescent="0.45"/>
    <row r="1954" customFormat="1" x14ac:dyDescent="0.45"/>
    <row r="1955" customFormat="1" x14ac:dyDescent="0.45"/>
    <row r="1956" customFormat="1" x14ac:dyDescent="0.45"/>
    <row r="1957" customFormat="1" x14ac:dyDescent="0.45"/>
    <row r="1958" customFormat="1" x14ac:dyDescent="0.45"/>
    <row r="1959" customFormat="1" x14ac:dyDescent="0.45"/>
    <row r="1960" customFormat="1" x14ac:dyDescent="0.45"/>
    <row r="1961" customFormat="1" x14ac:dyDescent="0.45"/>
    <row r="1962" customFormat="1" x14ac:dyDescent="0.45"/>
    <row r="1963" customFormat="1" x14ac:dyDescent="0.45"/>
    <row r="1964" customFormat="1" x14ac:dyDescent="0.45"/>
    <row r="1965" customFormat="1" x14ac:dyDescent="0.45"/>
    <row r="1966" customFormat="1" x14ac:dyDescent="0.45"/>
    <row r="1967" customFormat="1" x14ac:dyDescent="0.45"/>
    <row r="1968" customFormat="1" x14ac:dyDescent="0.45"/>
    <row r="1969" customFormat="1" x14ac:dyDescent="0.45"/>
    <row r="1970" customFormat="1" x14ac:dyDescent="0.45"/>
    <row r="1971" customFormat="1" x14ac:dyDescent="0.45"/>
    <row r="1972" customFormat="1" x14ac:dyDescent="0.45"/>
    <row r="1973" customFormat="1" x14ac:dyDescent="0.45"/>
    <row r="1974" customFormat="1" x14ac:dyDescent="0.45"/>
    <row r="1975" customFormat="1" x14ac:dyDescent="0.45"/>
    <row r="1976" customFormat="1" x14ac:dyDescent="0.45"/>
    <row r="1977" customFormat="1" x14ac:dyDescent="0.45"/>
    <row r="1978" customFormat="1" x14ac:dyDescent="0.45"/>
    <row r="1979" customFormat="1" x14ac:dyDescent="0.45"/>
    <row r="1980" customFormat="1" x14ac:dyDescent="0.45"/>
    <row r="1981" customFormat="1" x14ac:dyDescent="0.45"/>
    <row r="1982" customFormat="1" x14ac:dyDescent="0.45"/>
    <row r="1983" customFormat="1" x14ac:dyDescent="0.45"/>
    <row r="1984" customFormat="1" x14ac:dyDescent="0.45"/>
    <row r="1985" customFormat="1" x14ac:dyDescent="0.45"/>
    <row r="1986" customFormat="1" x14ac:dyDescent="0.45"/>
    <row r="1987" customFormat="1" x14ac:dyDescent="0.45"/>
    <row r="1988" customFormat="1" x14ac:dyDescent="0.45"/>
    <row r="1989" customFormat="1" x14ac:dyDescent="0.45"/>
    <row r="1990" customFormat="1" x14ac:dyDescent="0.45"/>
    <row r="1991" customFormat="1" x14ac:dyDescent="0.45"/>
    <row r="1992" customFormat="1" x14ac:dyDescent="0.45"/>
    <row r="1993" customFormat="1" x14ac:dyDescent="0.45"/>
    <row r="1994" customFormat="1" x14ac:dyDescent="0.45"/>
    <row r="1995" customFormat="1" x14ac:dyDescent="0.45"/>
    <row r="1996" customFormat="1" x14ac:dyDescent="0.45"/>
    <row r="1997" customFormat="1" x14ac:dyDescent="0.45"/>
    <row r="1998" customFormat="1" x14ac:dyDescent="0.45"/>
    <row r="1999" customFormat="1" x14ac:dyDescent="0.45"/>
    <row r="2000" customFormat="1" x14ac:dyDescent="0.45"/>
    <row r="2001" customFormat="1" x14ac:dyDescent="0.45"/>
    <row r="2002" customFormat="1" x14ac:dyDescent="0.45"/>
    <row r="2003" customFormat="1" x14ac:dyDescent="0.45"/>
    <row r="2004" customFormat="1" x14ac:dyDescent="0.45"/>
    <row r="2005" customFormat="1" x14ac:dyDescent="0.45"/>
    <row r="2006" customFormat="1" x14ac:dyDescent="0.45"/>
    <row r="2007" customFormat="1" x14ac:dyDescent="0.45"/>
    <row r="2008" customFormat="1" x14ac:dyDescent="0.45"/>
    <row r="2009" customFormat="1" x14ac:dyDescent="0.45"/>
    <row r="2010" customFormat="1" x14ac:dyDescent="0.45"/>
    <row r="2011" customFormat="1" x14ac:dyDescent="0.45"/>
    <row r="2012" customFormat="1" x14ac:dyDescent="0.45"/>
    <row r="2013" customFormat="1" x14ac:dyDescent="0.45"/>
    <row r="2014" customFormat="1" x14ac:dyDescent="0.45"/>
    <row r="2015" customFormat="1" x14ac:dyDescent="0.45"/>
    <row r="2016" customFormat="1" x14ac:dyDescent="0.45"/>
    <row r="2017" customFormat="1" x14ac:dyDescent="0.45"/>
    <row r="2018" customFormat="1" x14ac:dyDescent="0.45"/>
    <row r="2019" customFormat="1" x14ac:dyDescent="0.45"/>
    <row r="2020" customFormat="1" x14ac:dyDescent="0.45"/>
    <row r="2021" customFormat="1" x14ac:dyDescent="0.45"/>
    <row r="2022" customFormat="1" x14ac:dyDescent="0.45"/>
    <row r="2023" customFormat="1" x14ac:dyDescent="0.45"/>
    <row r="2024" customFormat="1" x14ac:dyDescent="0.45"/>
    <row r="2025" customFormat="1" x14ac:dyDescent="0.45"/>
    <row r="2026" customFormat="1" x14ac:dyDescent="0.45"/>
    <row r="2027" customFormat="1" x14ac:dyDescent="0.45"/>
    <row r="2028" customFormat="1" x14ac:dyDescent="0.45"/>
    <row r="2029" customFormat="1" x14ac:dyDescent="0.45"/>
    <row r="2030" customFormat="1" x14ac:dyDescent="0.45"/>
    <row r="2031" customFormat="1" x14ac:dyDescent="0.45"/>
    <row r="2032" customFormat="1" x14ac:dyDescent="0.45"/>
    <row r="2033" customFormat="1" x14ac:dyDescent="0.45"/>
    <row r="2034" customFormat="1" x14ac:dyDescent="0.45"/>
    <row r="2035" customFormat="1" x14ac:dyDescent="0.45"/>
    <row r="2036" customFormat="1" x14ac:dyDescent="0.45"/>
    <row r="2037" customFormat="1" x14ac:dyDescent="0.45"/>
    <row r="2038" customFormat="1" x14ac:dyDescent="0.45"/>
    <row r="2039" customFormat="1" x14ac:dyDescent="0.45"/>
    <row r="2040" customFormat="1" x14ac:dyDescent="0.45"/>
    <row r="2041" customFormat="1" x14ac:dyDescent="0.45"/>
    <row r="2042" customFormat="1" x14ac:dyDescent="0.45"/>
    <row r="2043" customFormat="1" x14ac:dyDescent="0.45"/>
    <row r="2044" customFormat="1" x14ac:dyDescent="0.45"/>
    <row r="2045" customFormat="1" x14ac:dyDescent="0.45"/>
    <row r="2046" customFormat="1" x14ac:dyDescent="0.45"/>
    <row r="2047" customFormat="1" x14ac:dyDescent="0.45"/>
    <row r="2048" customFormat="1" x14ac:dyDescent="0.45"/>
    <row r="2049" customFormat="1" x14ac:dyDescent="0.45"/>
    <row r="2050" customFormat="1" x14ac:dyDescent="0.45"/>
    <row r="2051" customFormat="1" x14ac:dyDescent="0.45"/>
    <row r="2052" customFormat="1" x14ac:dyDescent="0.45"/>
    <row r="2053" customFormat="1" x14ac:dyDescent="0.45"/>
    <row r="2054" customFormat="1" x14ac:dyDescent="0.45"/>
    <row r="2055" customFormat="1" x14ac:dyDescent="0.45"/>
    <row r="2056" customFormat="1" x14ac:dyDescent="0.45"/>
    <row r="2057" customFormat="1" x14ac:dyDescent="0.45"/>
    <row r="2058" customFormat="1" x14ac:dyDescent="0.45"/>
    <row r="2059" customFormat="1" x14ac:dyDescent="0.45"/>
    <row r="2060" customFormat="1" x14ac:dyDescent="0.45"/>
    <row r="2061" customFormat="1" x14ac:dyDescent="0.45"/>
    <row r="2062" customFormat="1" x14ac:dyDescent="0.45"/>
    <row r="2063" customFormat="1" x14ac:dyDescent="0.45"/>
    <row r="2064" customFormat="1" x14ac:dyDescent="0.45"/>
    <row r="2065" customFormat="1" x14ac:dyDescent="0.45"/>
    <row r="2066" customFormat="1" x14ac:dyDescent="0.45"/>
    <row r="2067" customFormat="1" x14ac:dyDescent="0.45"/>
    <row r="2068" customFormat="1" x14ac:dyDescent="0.45"/>
    <row r="2069" customFormat="1" x14ac:dyDescent="0.45"/>
    <row r="2070" customFormat="1" x14ac:dyDescent="0.45"/>
    <row r="2071" customFormat="1" x14ac:dyDescent="0.45"/>
    <row r="2072" customFormat="1" x14ac:dyDescent="0.45"/>
    <row r="2073" customFormat="1" x14ac:dyDescent="0.45"/>
    <row r="2074" customFormat="1" x14ac:dyDescent="0.45"/>
    <row r="2075" customFormat="1" x14ac:dyDescent="0.45"/>
    <row r="2076" customFormat="1" x14ac:dyDescent="0.45"/>
    <row r="2077" customFormat="1" x14ac:dyDescent="0.45"/>
    <row r="2078" customFormat="1" x14ac:dyDescent="0.45"/>
    <row r="2079" customFormat="1" x14ac:dyDescent="0.45"/>
    <row r="2080" customFormat="1" x14ac:dyDescent="0.45"/>
    <row r="2081" customFormat="1" x14ac:dyDescent="0.45"/>
    <row r="2082" customFormat="1" x14ac:dyDescent="0.45"/>
    <row r="2083" customFormat="1" x14ac:dyDescent="0.45"/>
    <row r="2084" customFormat="1" x14ac:dyDescent="0.45"/>
    <row r="2085" customFormat="1" x14ac:dyDescent="0.45"/>
    <row r="2086" customFormat="1" x14ac:dyDescent="0.45"/>
    <row r="2087" customFormat="1" x14ac:dyDescent="0.45"/>
    <row r="2088" customFormat="1" x14ac:dyDescent="0.45"/>
    <row r="2089" customFormat="1" x14ac:dyDescent="0.45"/>
    <row r="2090" customFormat="1" x14ac:dyDescent="0.45"/>
    <row r="2091" customFormat="1" x14ac:dyDescent="0.45"/>
    <row r="2092" customFormat="1" x14ac:dyDescent="0.45"/>
    <row r="2093" customFormat="1" x14ac:dyDescent="0.45"/>
    <row r="2094" customFormat="1" x14ac:dyDescent="0.45"/>
    <row r="2095" customFormat="1" x14ac:dyDescent="0.45"/>
    <row r="2096" customFormat="1" x14ac:dyDescent="0.45"/>
    <row r="2097" customFormat="1" x14ac:dyDescent="0.45"/>
    <row r="2098" customFormat="1" x14ac:dyDescent="0.45"/>
    <row r="2099" customFormat="1" x14ac:dyDescent="0.45"/>
    <row r="2100" customFormat="1" x14ac:dyDescent="0.45"/>
    <row r="2101" customFormat="1" x14ac:dyDescent="0.45"/>
    <row r="2102" customFormat="1" x14ac:dyDescent="0.45"/>
    <row r="2103" customFormat="1" x14ac:dyDescent="0.45"/>
    <row r="2104" customFormat="1" x14ac:dyDescent="0.45"/>
    <row r="2105" customFormat="1" x14ac:dyDescent="0.45"/>
    <row r="2106" customFormat="1" x14ac:dyDescent="0.45"/>
    <row r="2107" customFormat="1" x14ac:dyDescent="0.45"/>
    <row r="2108" customFormat="1" x14ac:dyDescent="0.45"/>
    <row r="2109" customFormat="1" x14ac:dyDescent="0.45"/>
    <row r="2110" customFormat="1" x14ac:dyDescent="0.45"/>
    <row r="2111" customFormat="1" x14ac:dyDescent="0.45"/>
    <row r="2112" customFormat="1" x14ac:dyDescent="0.45"/>
    <row r="2113" customFormat="1" x14ac:dyDescent="0.45"/>
    <row r="2114" customFormat="1" x14ac:dyDescent="0.45"/>
    <row r="2115" customFormat="1" x14ac:dyDescent="0.45"/>
    <row r="2116" customFormat="1" x14ac:dyDescent="0.45"/>
    <row r="2117" customFormat="1" x14ac:dyDescent="0.45"/>
    <row r="2118" customFormat="1" x14ac:dyDescent="0.45"/>
    <row r="2119" customFormat="1" x14ac:dyDescent="0.45"/>
    <row r="2120" customFormat="1" x14ac:dyDescent="0.45"/>
    <row r="2121" customFormat="1" x14ac:dyDescent="0.45"/>
    <row r="2122" customFormat="1" x14ac:dyDescent="0.45"/>
    <row r="2123" customFormat="1" x14ac:dyDescent="0.45"/>
    <row r="2124" customFormat="1" x14ac:dyDescent="0.45"/>
    <row r="2125" customFormat="1" x14ac:dyDescent="0.45"/>
    <row r="2126" customFormat="1" x14ac:dyDescent="0.45"/>
    <row r="2127" customFormat="1" x14ac:dyDescent="0.45"/>
    <row r="2128" customFormat="1" x14ac:dyDescent="0.45"/>
    <row r="2129" customFormat="1" x14ac:dyDescent="0.45"/>
    <row r="2130" customFormat="1" x14ac:dyDescent="0.45"/>
    <row r="2131" customFormat="1" x14ac:dyDescent="0.45"/>
    <row r="2132" customFormat="1" x14ac:dyDescent="0.45"/>
    <row r="2133" customFormat="1" x14ac:dyDescent="0.45"/>
    <row r="2134" customFormat="1" x14ac:dyDescent="0.45"/>
    <row r="2135" customFormat="1" x14ac:dyDescent="0.45"/>
    <row r="2136" customFormat="1" x14ac:dyDescent="0.45"/>
    <row r="2137" customFormat="1" x14ac:dyDescent="0.45"/>
    <row r="2138" customFormat="1" x14ac:dyDescent="0.45"/>
    <row r="2139" customFormat="1" x14ac:dyDescent="0.45"/>
    <row r="2140" customFormat="1" x14ac:dyDescent="0.45"/>
    <row r="2141" customFormat="1" x14ac:dyDescent="0.45"/>
    <row r="2142" customFormat="1" x14ac:dyDescent="0.45"/>
    <row r="2143" customFormat="1" x14ac:dyDescent="0.45"/>
    <row r="2144" customFormat="1" x14ac:dyDescent="0.45"/>
    <row r="2145" customFormat="1" x14ac:dyDescent="0.45"/>
    <row r="2146" customFormat="1" x14ac:dyDescent="0.45"/>
    <row r="2147" customFormat="1" x14ac:dyDescent="0.45"/>
    <row r="2148" customFormat="1" x14ac:dyDescent="0.45"/>
    <row r="2149" customFormat="1" x14ac:dyDescent="0.45"/>
    <row r="2150" customFormat="1" x14ac:dyDescent="0.45"/>
    <row r="2151" customFormat="1" x14ac:dyDescent="0.45"/>
    <row r="2152" customFormat="1" x14ac:dyDescent="0.45"/>
    <row r="2153" customFormat="1" x14ac:dyDescent="0.45"/>
    <row r="2154" customFormat="1" x14ac:dyDescent="0.45"/>
    <row r="2155" customFormat="1" x14ac:dyDescent="0.45"/>
    <row r="2156" customFormat="1" x14ac:dyDescent="0.45"/>
    <row r="2157" customFormat="1" x14ac:dyDescent="0.45"/>
    <row r="2158" customFormat="1" x14ac:dyDescent="0.45"/>
    <row r="2159" customFormat="1" x14ac:dyDescent="0.45"/>
    <row r="2160" customFormat="1" x14ac:dyDescent="0.45"/>
    <row r="2161" customFormat="1" x14ac:dyDescent="0.45"/>
    <row r="2162" customFormat="1" x14ac:dyDescent="0.45"/>
    <row r="2163" customFormat="1" x14ac:dyDescent="0.45"/>
    <row r="2164" customFormat="1" x14ac:dyDescent="0.45"/>
    <row r="2165" customFormat="1" x14ac:dyDescent="0.45"/>
    <row r="2166" customFormat="1" x14ac:dyDescent="0.45"/>
    <row r="2167" customFormat="1" x14ac:dyDescent="0.45"/>
    <row r="2168" customFormat="1" x14ac:dyDescent="0.45"/>
    <row r="2169" customFormat="1" x14ac:dyDescent="0.45"/>
    <row r="2170" customFormat="1" x14ac:dyDescent="0.45"/>
    <row r="2171" customFormat="1" x14ac:dyDescent="0.45"/>
    <row r="2172" customFormat="1" x14ac:dyDescent="0.45"/>
    <row r="2173" customFormat="1" x14ac:dyDescent="0.45"/>
    <row r="2174" customFormat="1" x14ac:dyDescent="0.45"/>
    <row r="2175" customFormat="1" x14ac:dyDescent="0.45"/>
    <row r="2176" customFormat="1" x14ac:dyDescent="0.45"/>
    <row r="2177" customFormat="1" x14ac:dyDescent="0.45"/>
    <row r="2178" customFormat="1" x14ac:dyDescent="0.45"/>
    <row r="2179" customFormat="1" x14ac:dyDescent="0.45"/>
    <row r="2180" customFormat="1" x14ac:dyDescent="0.45"/>
    <row r="2181" customFormat="1" x14ac:dyDescent="0.45"/>
    <row r="2182" customFormat="1" x14ac:dyDescent="0.45"/>
    <row r="2183" customFormat="1" x14ac:dyDescent="0.45"/>
    <row r="2184" customFormat="1" x14ac:dyDescent="0.45"/>
    <row r="2185" customFormat="1" x14ac:dyDescent="0.45"/>
    <row r="2186" customFormat="1" x14ac:dyDescent="0.45"/>
    <row r="2187" customFormat="1" x14ac:dyDescent="0.45"/>
    <row r="2188" customFormat="1" x14ac:dyDescent="0.45"/>
    <row r="2189" customFormat="1" x14ac:dyDescent="0.45"/>
    <row r="2190" customFormat="1" x14ac:dyDescent="0.45"/>
    <row r="2191" customFormat="1" x14ac:dyDescent="0.45"/>
    <row r="2192" customFormat="1" x14ac:dyDescent="0.45"/>
    <row r="2193" customFormat="1" x14ac:dyDescent="0.45"/>
    <row r="2194" customFormat="1" x14ac:dyDescent="0.45"/>
    <row r="2195" customFormat="1" x14ac:dyDescent="0.45"/>
    <row r="2196" customFormat="1" x14ac:dyDescent="0.45"/>
    <row r="2197" customFormat="1" x14ac:dyDescent="0.45"/>
    <row r="2198" customFormat="1" x14ac:dyDescent="0.45"/>
    <row r="2199" customFormat="1" x14ac:dyDescent="0.45"/>
    <row r="2200" customFormat="1" x14ac:dyDescent="0.45"/>
    <row r="2201" customFormat="1" x14ac:dyDescent="0.45"/>
    <row r="2202" customFormat="1" x14ac:dyDescent="0.45"/>
    <row r="2203" customFormat="1" x14ac:dyDescent="0.45"/>
    <row r="2204" customFormat="1" x14ac:dyDescent="0.45"/>
    <row r="2205" customFormat="1" x14ac:dyDescent="0.45"/>
    <row r="2206" customFormat="1" x14ac:dyDescent="0.45"/>
    <row r="2207" customFormat="1" x14ac:dyDescent="0.45"/>
    <row r="2208" customFormat="1" x14ac:dyDescent="0.45"/>
    <row r="2209" customFormat="1" x14ac:dyDescent="0.45"/>
    <row r="2210" customFormat="1" x14ac:dyDescent="0.45"/>
    <row r="2211" customFormat="1" x14ac:dyDescent="0.45"/>
    <row r="2212" customFormat="1" x14ac:dyDescent="0.45"/>
    <row r="2213" customFormat="1" x14ac:dyDescent="0.45"/>
    <row r="2214" customFormat="1" x14ac:dyDescent="0.45"/>
    <row r="2215" customFormat="1" x14ac:dyDescent="0.45"/>
    <row r="2216" customFormat="1" x14ac:dyDescent="0.45"/>
    <row r="2217" customFormat="1" x14ac:dyDescent="0.45"/>
    <row r="2218" customFormat="1" x14ac:dyDescent="0.45"/>
    <row r="2219" customFormat="1" x14ac:dyDescent="0.45"/>
    <row r="2220" customFormat="1" x14ac:dyDescent="0.45"/>
    <row r="2221" customFormat="1" x14ac:dyDescent="0.45"/>
    <row r="2222" customFormat="1" x14ac:dyDescent="0.45"/>
    <row r="2223" customFormat="1" x14ac:dyDescent="0.45"/>
    <row r="2224" customFormat="1" x14ac:dyDescent="0.45"/>
    <row r="2225" customFormat="1" x14ac:dyDescent="0.45"/>
    <row r="2226" customFormat="1" x14ac:dyDescent="0.45"/>
    <row r="2227" customFormat="1" x14ac:dyDescent="0.45"/>
    <row r="2228" customFormat="1" x14ac:dyDescent="0.45"/>
    <row r="2229" customFormat="1" x14ac:dyDescent="0.45"/>
    <row r="2230" customFormat="1" x14ac:dyDescent="0.45"/>
    <row r="2231" customFormat="1" x14ac:dyDescent="0.45"/>
    <row r="2232" customFormat="1" x14ac:dyDescent="0.45"/>
    <row r="2233" customFormat="1" x14ac:dyDescent="0.45"/>
    <row r="2234" customFormat="1" x14ac:dyDescent="0.45"/>
    <row r="2235" customFormat="1" x14ac:dyDescent="0.45"/>
    <row r="2236" customFormat="1" x14ac:dyDescent="0.45"/>
    <row r="2237" customFormat="1" x14ac:dyDescent="0.45"/>
    <row r="2238" customFormat="1" x14ac:dyDescent="0.45"/>
    <row r="2239" customFormat="1" x14ac:dyDescent="0.45"/>
    <row r="2240" customFormat="1" x14ac:dyDescent="0.45"/>
    <row r="2241" customFormat="1" x14ac:dyDescent="0.45"/>
    <row r="2242" customFormat="1" x14ac:dyDescent="0.45"/>
    <row r="2243" customFormat="1" x14ac:dyDescent="0.45"/>
    <row r="2244" customFormat="1" x14ac:dyDescent="0.45"/>
    <row r="2245" customFormat="1" x14ac:dyDescent="0.45"/>
    <row r="2246" customFormat="1" x14ac:dyDescent="0.45"/>
    <row r="2247" customFormat="1" x14ac:dyDescent="0.45"/>
    <row r="2248" customFormat="1" x14ac:dyDescent="0.45"/>
    <row r="2249" customFormat="1" x14ac:dyDescent="0.45"/>
    <row r="2250" customFormat="1" x14ac:dyDescent="0.45"/>
    <row r="2251" customFormat="1" x14ac:dyDescent="0.45"/>
    <row r="2252" customFormat="1" x14ac:dyDescent="0.45"/>
    <row r="2253" customFormat="1" x14ac:dyDescent="0.45"/>
    <row r="2254" customFormat="1" x14ac:dyDescent="0.45"/>
    <row r="2255" customFormat="1" x14ac:dyDescent="0.45"/>
    <row r="2256" customFormat="1" x14ac:dyDescent="0.45"/>
    <row r="2257" customFormat="1" x14ac:dyDescent="0.45"/>
    <row r="2258" customFormat="1" x14ac:dyDescent="0.45"/>
    <row r="2259" customFormat="1" x14ac:dyDescent="0.45"/>
    <row r="2260" customFormat="1" x14ac:dyDescent="0.45"/>
    <row r="2261" customFormat="1" x14ac:dyDescent="0.45"/>
    <row r="2262" customFormat="1" x14ac:dyDescent="0.45"/>
    <row r="2263" customFormat="1" x14ac:dyDescent="0.45"/>
    <row r="2264" customFormat="1" x14ac:dyDescent="0.45"/>
    <row r="2265" customFormat="1" x14ac:dyDescent="0.45"/>
    <row r="2266" customFormat="1" x14ac:dyDescent="0.45"/>
    <row r="2267" customFormat="1" x14ac:dyDescent="0.45"/>
    <row r="2268" customFormat="1" x14ac:dyDescent="0.45"/>
    <row r="2269" customFormat="1" x14ac:dyDescent="0.45"/>
    <row r="2270" customFormat="1" x14ac:dyDescent="0.45"/>
    <row r="2271" customFormat="1" x14ac:dyDescent="0.45"/>
    <row r="2272" customFormat="1" x14ac:dyDescent="0.45"/>
    <row r="2273" customFormat="1" x14ac:dyDescent="0.45"/>
    <row r="2274" customFormat="1" x14ac:dyDescent="0.45"/>
    <row r="2275" customFormat="1" x14ac:dyDescent="0.45"/>
    <row r="2276" customFormat="1" x14ac:dyDescent="0.45"/>
    <row r="2277" customFormat="1" x14ac:dyDescent="0.45"/>
    <row r="2278" customFormat="1" x14ac:dyDescent="0.45"/>
    <row r="2279" customFormat="1" x14ac:dyDescent="0.45"/>
    <row r="2280" customFormat="1" x14ac:dyDescent="0.45"/>
    <row r="2281" customFormat="1" x14ac:dyDescent="0.45"/>
    <row r="2282" customFormat="1" x14ac:dyDescent="0.45"/>
    <row r="2283" customFormat="1" x14ac:dyDescent="0.45"/>
    <row r="2284" customFormat="1" x14ac:dyDescent="0.45"/>
    <row r="2285" customFormat="1" x14ac:dyDescent="0.45"/>
    <row r="2286" customFormat="1" x14ac:dyDescent="0.45"/>
    <row r="2287" customFormat="1" x14ac:dyDescent="0.45"/>
    <row r="2288" customFormat="1" x14ac:dyDescent="0.45"/>
    <row r="2289" customFormat="1" x14ac:dyDescent="0.45"/>
    <row r="2290" customFormat="1" x14ac:dyDescent="0.45"/>
    <row r="2291" customFormat="1" x14ac:dyDescent="0.45"/>
    <row r="2292" customFormat="1" x14ac:dyDescent="0.45"/>
    <row r="2293" customFormat="1" x14ac:dyDescent="0.45"/>
    <row r="2294" customFormat="1" x14ac:dyDescent="0.45"/>
    <row r="2295" customFormat="1" x14ac:dyDescent="0.45"/>
    <row r="2296" customFormat="1" x14ac:dyDescent="0.45"/>
    <row r="2297" customFormat="1" x14ac:dyDescent="0.45"/>
    <row r="2298" customFormat="1" x14ac:dyDescent="0.45"/>
    <row r="2299" customFormat="1" x14ac:dyDescent="0.45"/>
    <row r="2300" customFormat="1" x14ac:dyDescent="0.45"/>
    <row r="2301" customFormat="1" x14ac:dyDescent="0.45"/>
    <row r="2302" customFormat="1" x14ac:dyDescent="0.45"/>
    <row r="2303" customFormat="1" x14ac:dyDescent="0.45"/>
    <row r="2304" customFormat="1" x14ac:dyDescent="0.45"/>
    <row r="2305" customFormat="1" x14ac:dyDescent="0.45"/>
    <row r="2306" customFormat="1" x14ac:dyDescent="0.45"/>
    <row r="2307" customFormat="1" x14ac:dyDescent="0.45"/>
    <row r="2308" customFormat="1" x14ac:dyDescent="0.45"/>
    <row r="2309" customFormat="1" x14ac:dyDescent="0.45"/>
    <row r="2310" customFormat="1" x14ac:dyDescent="0.45"/>
    <row r="2311" customFormat="1" x14ac:dyDescent="0.45"/>
    <row r="2312" customFormat="1" x14ac:dyDescent="0.45"/>
    <row r="2313" customFormat="1" x14ac:dyDescent="0.45"/>
    <row r="2314" customFormat="1" x14ac:dyDescent="0.45"/>
    <row r="2315" customFormat="1" x14ac:dyDescent="0.45"/>
    <row r="2316" customFormat="1" x14ac:dyDescent="0.45"/>
    <row r="2317" customFormat="1" x14ac:dyDescent="0.45"/>
    <row r="2318" customFormat="1" x14ac:dyDescent="0.45"/>
    <row r="2319" customFormat="1" x14ac:dyDescent="0.45"/>
    <row r="2320" customFormat="1" x14ac:dyDescent="0.45"/>
    <row r="2321" customFormat="1" x14ac:dyDescent="0.45"/>
    <row r="2322" customFormat="1" x14ac:dyDescent="0.45"/>
    <row r="2323" customFormat="1" x14ac:dyDescent="0.45"/>
    <row r="2324" customFormat="1" x14ac:dyDescent="0.45"/>
    <row r="2325" customFormat="1" x14ac:dyDescent="0.45"/>
    <row r="2326" customFormat="1" x14ac:dyDescent="0.45"/>
    <row r="2327" customFormat="1" x14ac:dyDescent="0.45"/>
    <row r="2328" customFormat="1" x14ac:dyDescent="0.45"/>
    <row r="2329" customFormat="1" x14ac:dyDescent="0.45"/>
    <row r="2330" customFormat="1" x14ac:dyDescent="0.45"/>
    <row r="2331" customFormat="1" x14ac:dyDescent="0.45"/>
    <row r="2332" customFormat="1" x14ac:dyDescent="0.45"/>
    <row r="2333" customFormat="1" x14ac:dyDescent="0.45"/>
    <row r="2334" customFormat="1" x14ac:dyDescent="0.45"/>
    <row r="2335" customFormat="1" x14ac:dyDescent="0.45"/>
    <row r="2336" customFormat="1" x14ac:dyDescent="0.45"/>
    <row r="2337" customFormat="1" x14ac:dyDescent="0.45"/>
    <row r="2338" customFormat="1" x14ac:dyDescent="0.45"/>
    <row r="2339" customFormat="1" x14ac:dyDescent="0.45"/>
    <row r="2340" customFormat="1" x14ac:dyDescent="0.45"/>
    <row r="2341" customFormat="1" x14ac:dyDescent="0.45"/>
    <row r="2342" customFormat="1" x14ac:dyDescent="0.45"/>
    <row r="2343" customFormat="1" x14ac:dyDescent="0.45"/>
    <row r="2344" customFormat="1" x14ac:dyDescent="0.45"/>
    <row r="2345" customFormat="1" x14ac:dyDescent="0.45"/>
    <row r="2346" customFormat="1" x14ac:dyDescent="0.45"/>
    <row r="2347" customFormat="1" x14ac:dyDescent="0.45"/>
    <row r="2348" customFormat="1" x14ac:dyDescent="0.45"/>
    <row r="2349" customFormat="1" x14ac:dyDescent="0.45"/>
    <row r="2350" customFormat="1" x14ac:dyDescent="0.45"/>
    <row r="2351" customFormat="1" x14ac:dyDescent="0.45"/>
    <row r="2352" customFormat="1" x14ac:dyDescent="0.45"/>
    <row r="2353" customFormat="1" x14ac:dyDescent="0.45"/>
    <row r="2354" customFormat="1" x14ac:dyDescent="0.45"/>
    <row r="2355" customFormat="1" x14ac:dyDescent="0.45"/>
    <row r="2356" customFormat="1" x14ac:dyDescent="0.45"/>
    <row r="2357" customFormat="1" x14ac:dyDescent="0.45"/>
    <row r="2358" customFormat="1" x14ac:dyDescent="0.45"/>
    <row r="2359" customFormat="1" x14ac:dyDescent="0.45"/>
    <row r="2360" customFormat="1" x14ac:dyDescent="0.45"/>
    <row r="2361" customFormat="1" x14ac:dyDescent="0.45"/>
    <row r="2362" customFormat="1" x14ac:dyDescent="0.45"/>
    <row r="2363" customFormat="1" x14ac:dyDescent="0.45"/>
    <row r="2364" customFormat="1" x14ac:dyDescent="0.45"/>
    <row r="2365" customFormat="1" x14ac:dyDescent="0.45"/>
    <row r="2366" customFormat="1" x14ac:dyDescent="0.45"/>
    <row r="2367" customFormat="1" x14ac:dyDescent="0.45"/>
    <row r="2368" customFormat="1" x14ac:dyDescent="0.45"/>
    <row r="2369" customFormat="1" x14ac:dyDescent="0.45"/>
    <row r="2370" customFormat="1" x14ac:dyDescent="0.45"/>
    <row r="2371" customFormat="1" x14ac:dyDescent="0.45"/>
    <row r="2372" customFormat="1" x14ac:dyDescent="0.45"/>
    <row r="2373" customFormat="1" x14ac:dyDescent="0.45"/>
    <row r="2374" customFormat="1" x14ac:dyDescent="0.45"/>
    <row r="2375" customFormat="1" x14ac:dyDescent="0.45"/>
    <row r="2376" customFormat="1" x14ac:dyDescent="0.45"/>
    <row r="2377" customFormat="1" x14ac:dyDescent="0.45"/>
    <row r="2378" customFormat="1" x14ac:dyDescent="0.45"/>
    <row r="2379" customFormat="1" x14ac:dyDescent="0.45"/>
    <row r="2380" customFormat="1" x14ac:dyDescent="0.45"/>
    <row r="2381" customFormat="1" x14ac:dyDescent="0.45"/>
    <row r="2382" customFormat="1" x14ac:dyDescent="0.45"/>
    <row r="2383" customFormat="1" x14ac:dyDescent="0.45"/>
    <row r="2384" customFormat="1" x14ac:dyDescent="0.45"/>
    <row r="2385" customFormat="1" x14ac:dyDescent="0.45"/>
    <row r="2386" customFormat="1" x14ac:dyDescent="0.45"/>
    <row r="2387" customFormat="1" x14ac:dyDescent="0.45"/>
    <row r="2388" customFormat="1" x14ac:dyDescent="0.45"/>
    <row r="2389" customFormat="1" x14ac:dyDescent="0.45"/>
    <row r="2390" customFormat="1" x14ac:dyDescent="0.45"/>
    <row r="2391" customFormat="1" x14ac:dyDescent="0.45"/>
    <row r="2392" customFormat="1" x14ac:dyDescent="0.45"/>
    <row r="2393" customFormat="1" x14ac:dyDescent="0.45"/>
    <row r="2394" customFormat="1" x14ac:dyDescent="0.45"/>
    <row r="2395" customFormat="1" x14ac:dyDescent="0.45"/>
    <row r="2396" customFormat="1" x14ac:dyDescent="0.45"/>
    <row r="2397" customFormat="1" x14ac:dyDescent="0.45"/>
    <row r="2398" customFormat="1" x14ac:dyDescent="0.45"/>
    <row r="2399" customFormat="1" x14ac:dyDescent="0.45"/>
    <row r="2400" customFormat="1" x14ac:dyDescent="0.45"/>
    <row r="2401" customFormat="1" x14ac:dyDescent="0.45"/>
    <row r="2402" customFormat="1" x14ac:dyDescent="0.45"/>
    <row r="2403" customFormat="1" x14ac:dyDescent="0.45"/>
    <row r="2404" customFormat="1" x14ac:dyDescent="0.45"/>
    <row r="2405" customFormat="1" x14ac:dyDescent="0.45"/>
    <row r="2406" customFormat="1" x14ac:dyDescent="0.45"/>
    <row r="2407" customFormat="1" x14ac:dyDescent="0.45"/>
    <row r="2408" customFormat="1" x14ac:dyDescent="0.45"/>
    <row r="2409" customFormat="1" x14ac:dyDescent="0.45"/>
    <row r="2410" customFormat="1" x14ac:dyDescent="0.45"/>
    <row r="2411" customFormat="1" x14ac:dyDescent="0.45"/>
    <row r="2412" customFormat="1" x14ac:dyDescent="0.45"/>
    <row r="2413" customFormat="1" x14ac:dyDescent="0.45"/>
    <row r="2414" customFormat="1" x14ac:dyDescent="0.45"/>
    <row r="2415" customFormat="1" x14ac:dyDescent="0.45"/>
    <row r="2416" customFormat="1" x14ac:dyDescent="0.45"/>
    <row r="2417" customFormat="1" x14ac:dyDescent="0.45"/>
    <row r="2418" customFormat="1" x14ac:dyDescent="0.45"/>
    <row r="2419" customFormat="1" x14ac:dyDescent="0.45"/>
    <row r="2420" customFormat="1" x14ac:dyDescent="0.45"/>
    <row r="2421" customFormat="1" x14ac:dyDescent="0.45"/>
    <row r="2422" customFormat="1" x14ac:dyDescent="0.45"/>
    <row r="2423" customFormat="1" x14ac:dyDescent="0.45"/>
    <row r="2424" customFormat="1" x14ac:dyDescent="0.45"/>
    <row r="2425" customFormat="1" x14ac:dyDescent="0.45"/>
    <row r="2426" customFormat="1" x14ac:dyDescent="0.45"/>
    <row r="2427" customFormat="1" x14ac:dyDescent="0.45"/>
    <row r="2428" customFormat="1" x14ac:dyDescent="0.45"/>
    <row r="2429" customFormat="1" x14ac:dyDescent="0.45"/>
    <row r="2430" customFormat="1" x14ac:dyDescent="0.45"/>
    <row r="2431" customFormat="1" x14ac:dyDescent="0.45"/>
    <row r="2432" customFormat="1" x14ac:dyDescent="0.45"/>
    <row r="2433" customFormat="1" x14ac:dyDescent="0.45"/>
    <row r="2434" customFormat="1" x14ac:dyDescent="0.45"/>
    <row r="2435" customFormat="1" x14ac:dyDescent="0.45"/>
    <row r="2436" customFormat="1" x14ac:dyDescent="0.45"/>
    <row r="2437" customFormat="1" x14ac:dyDescent="0.45"/>
    <row r="2438" customFormat="1" x14ac:dyDescent="0.45"/>
    <row r="2439" customFormat="1" x14ac:dyDescent="0.45"/>
    <row r="2440" customFormat="1" x14ac:dyDescent="0.45"/>
    <row r="2441" customFormat="1" x14ac:dyDescent="0.45"/>
    <row r="2442" customFormat="1" x14ac:dyDescent="0.45"/>
    <row r="2443" customFormat="1" x14ac:dyDescent="0.45"/>
    <row r="2444" customFormat="1" x14ac:dyDescent="0.45"/>
    <row r="2445" customFormat="1" x14ac:dyDescent="0.45"/>
    <row r="2446" customFormat="1" x14ac:dyDescent="0.45"/>
    <row r="2447" customFormat="1" x14ac:dyDescent="0.45"/>
    <row r="2448" customFormat="1" x14ac:dyDescent="0.45"/>
    <row r="2449" customFormat="1" x14ac:dyDescent="0.45"/>
    <row r="2450" customFormat="1" x14ac:dyDescent="0.45"/>
    <row r="2451" customFormat="1" x14ac:dyDescent="0.45"/>
    <row r="2452" customFormat="1" x14ac:dyDescent="0.45"/>
    <row r="2453" customFormat="1" x14ac:dyDescent="0.45"/>
    <row r="2454" customFormat="1" x14ac:dyDescent="0.45"/>
    <row r="2455" customFormat="1" x14ac:dyDescent="0.45"/>
    <row r="2456" customFormat="1" x14ac:dyDescent="0.45"/>
    <row r="2457" customFormat="1" x14ac:dyDescent="0.45"/>
    <row r="2458" customFormat="1" x14ac:dyDescent="0.45"/>
    <row r="2459" customFormat="1" x14ac:dyDescent="0.45"/>
    <row r="2460" customFormat="1" x14ac:dyDescent="0.45"/>
    <row r="2461" customFormat="1" x14ac:dyDescent="0.45"/>
    <row r="2462" customFormat="1" x14ac:dyDescent="0.45"/>
    <row r="2463" customFormat="1" x14ac:dyDescent="0.45"/>
    <row r="2464" customFormat="1" x14ac:dyDescent="0.45"/>
    <row r="2465" customFormat="1" x14ac:dyDescent="0.45"/>
    <row r="2466" customFormat="1" x14ac:dyDescent="0.45"/>
    <row r="2467" customFormat="1" x14ac:dyDescent="0.45"/>
    <row r="2468" customFormat="1" x14ac:dyDescent="0.45"/>
    <row r="2469" customFormat="1" x14ac:dyDescent="0.45"/>
    <row r="2470" customFormat="1" x14ac:dyDescent="0.45"/>
    <row r="2471" customFormat="1" x14ac:dyDescent="0.45"/>
    <row r="2472" customFormat="1" x14ac:dyDescent="0.45"/>
    <row r="2473" customFormat="1" x14ac:dyDescent="0.45"/>
    <row r="2474" customFormat="1" x14ac:dyDescent="0.45"/>
    <row r="2475" customFormat="1" x14ac:dyDescent="0.45"/>
    <row r="2476" customFormat="1" x14ac:dyDescent="0.45"/>
    <row r="2477" customFormat="1" x14ac:dyDescent="0.45"/>
    <row r="2478" customFormat="1" x14ac:dyDescent="0.45"/>
    <row r="2479" customFormat="1" x14ac:dyDescent="0.45"/>
    <row r="2480" customFormat="1" x14ac:dyDescent="0.45"/>
    <row r="2481" customFormat="1" x14ac:dyDescent="0.45"/>
    <row r="2482" customFormat="1" x14ac:dyDescent="0.45"/>
    <row r="2483" customFormat="1" x14ac:dyDescent="0.45"/>
    <row r="2484" customFormat="1" x14ac:dyDescent="0.45"/>
    <row r="2485" customFormat="1" x14ac:dyDescent="0.45"/>
    <row r="2486" customFormat="1" x14ac:dyDescent="0.45"/>
    <row r="2487" customFormat="1" x14ac:dyDescent="0.45"/>
    <row r="2488" customFormat="1" x14ac:dyDescent="0.45"/>
    <row r="2489" customFormat="1" x14ac:dyDescent="0.45"/>
    <row r="2490" customFormat="1" x14ac:dyDescent="0.45"/>
    <row r="2491" customFormat="1" x14ac:dyDescent="0.45"/>
    <row r="2492" customFormat="1" x14ac:dyDescent="0.45"/>
    <row r="2493" customFormat="1" x14ac:dyDescent="0.45"/>
    <row r="2494" customFormat="1" x14ac:dyDescent="0.45"/>
    <row r="2495" customFormat="1" x14ac:dyDescent="0.45"/>
    <row r="2496" customFormat="1" x14ac:dyDescent="0.45"/>
    <row r="2497" customFormat="1" x14ac:dyDescent="0.45"/>
    <row r="2498" customFormat="1" x14ac:dyDescent="0.45"/>
    <row r="2499" customFormat="1" x14ac:dyDescent="0.45"/>
    <row r="2500" customFormat="1" x14ac:dyDescent="0.45"/>
    <row r="2501" customFormat="1" x14ac:dyDescent="0.45"/>
    <row r="2502" customFormat="1" x14ac:dyDescent="0.45"/>
    <row r="2503" customFormat="1" x14ac:dyDescent="0.45"/>
    <row r="2504" customFormat="1" x14ac:dyDescent="0.45"/>
    <row r="2505" customFormat="1" x14ac:dyDescent="0.45"/>
    <row r="2506" customFormat="1" x14ac:dyDescent="0.45"/>
    <row r="2507" customFormat="1" x14ac:dyDescent="0.45"/>
    <row r="2508" customFormat="1" x14ac:dyDescent="0.45"/>
    <row r="2509" customFormat="1" x14ac:dyDescent="0.45"/>
    <row r="2510" customFormat="1" x14ac:dyDescent="0.45"/>
    <row r="2511" customFormat="1" x14ac:dyDescent="0.45"/>
    <row r="2512" customFormat="1" x14ac:dyDescent="0.45"/>
    <row r="2513" customFormat="1" x14ac:dyDescent="0.45"/>
    <row r="2514" customFormat="1" x14ac:dyDescent="0.45"/>
    <row r="2515" customFormat="1" x14ac:dyDescent="0.45"/>
    <row r="2516" customFormat="1" x14ac:dyDescent="0.45"/>
    <row r="2517" customFormat="1" x14ac:dyDescent="0.45"/>
    <row r="2518" customFormat="1" x14ac:dyDescent="0.45"/>
    <row r="2519" customFormat="1" x14ac:dyDescent="0.45"/>
    <row r="2520" customFormat="1" x14ac:dyDescent="0.45"/>
    <row r="2521" customFormat="1" x14ac:dyDescent="0.45"/>
    <row r="2522" customFormat="1" x14ac:dyDescent="0.45"/>
    <row r="2523" customFormat="1" x14ac:dyDescent="0.45"/>
    <row r="2524" customFormat="1" x14ac:dyDescent="0.45"/>
    <row r="2525" customFormat="1" x14ac:dyDescent="0.45"/>
    <row r="2526" customFormat="1" x14ac:dyDescent="0.45"/>
    <row r="2527" customFormat="1" x14ac:dyDescent="0.45"/>
    <row r="2528" customFormat="1" x14ac:dyDescent="0.45"/>
    <row r="2529" customFormat="1" x14ac:dyDescent="0.45"/>
    <row r="2530" customFormat="1" x14ac:dyDescent="0.45"/>
    <row r="2531" customFormat="1" x14ac:dyDescent="0.45"/>
    <row r="2532" customFormat="1" x14ac:dyDescent="0.45"/>
    <row r="2533" customFormat="1" x14ac:dyDescent="0.45"/>
    <row r="2534" customFormat="1" x14ac:dyDescent="0.45"/>
    <row r="2535" customFormat="1" x14ac:dyDescent="0.45"/>
    <row r="2536" customFormat="1" x14ac:dyDescent="0.45"/>
    <row r="2537" customFormat="1" x14ac:dyDescent="0.45"/>
    <row r="2538" customFormat="1" x14ac:dyDescent="0.45"/>
    <row r="2539" customFormat="1" x14ac:dyDescent="0.45"/>
    <row r="2540" customFormat="1" x14ac:dyDescent="0.45"/>
    <row r="2541" customFormat="1" x14ac:dyDescent="0.45"/>
    <row r="2542" customFormat="1" x14ac:dyDescent="0.45"/>
    <row r="2543" customFormat="1" x14ac:dyDescent="0.45"/>
    <row r="2544" customFormat="1" x14ac:dyDescent="0.45"/>
    <row r="2545" customFormat="1" x14ac:dyDescent="0.45"/>
    <row r="2546" customFormat="1" x14ac:dyDescent="0.45"/>
    <row r="2547" customFormat="1" x14ac:dyDescent="0.45"/>
    <row r="2548" customFormat="1" x14ac:dyDescent="0.45"/>
    <row r="2549" customFormat="1" x14ac:dyDescent="0.45"/>
    <row r="2550" customFormat="1" x14ac:dyDescent="0.45"/>
    <row r="2551" customFormat="1" x14ac:dyDescent="0.45"/>
    <row r="2552" customFormat="1" x14ac:dyDescent="0.45"/>
    <row r="2553" customFormat="1" x14ac:dyDescent="0.45"/>
    <row r="2554" customFormat="1" x14ac:dyDescent="0.45"/>
    <row r="2555" customFormat="1" x14ac:dyDescent="0.45"/>
    <row r="2556" customFormat="1" x14ac:dyDescent="0.45"/>
    <row r="2557" customFormat="1" x14ac:dyDescent="0.45"/>
    <row r="2558" customFormat="1" x14ac:dyDescent="0.45"/>
    <row r="2559" customFormat="1" x14ac:dyDescent="0.45"/>
    <row r="2560" customFormat="1" x14ac:dyDescent="0.45"/>
    <row r="2561" customFormat="1" x14ac:dyDescent="0.45"/>
    <row r="2562" customFormat="1" x14ac:dyDescent="0.45"/>
    <row r="2563" customFormat="1" x14ac:dyDescent="0.45"/>
    <row r="2564" customFormat="1" x14ac:dyDescent="0.45"/>
    <row r="2565" customFormat="1" x14ac:dyDescent="0.45"/>
    <row r="2566" customFormat="1" x14ac:dyDescent="0.45"/>
    <row r="2567" customFormat="1" x14ac:dyDescent="0.45"/>
    <row r="2568" customFormat="1" x14ac:dyDescent="0.45"/>
    <row r="2569" customFormat="1" x14ac:dyDescent="0.45"/>
    <row r="2570" customFormat="1" x14ac:dyDescent="0.45"/>
    <row r="2571" customFormat="1" x14ac:dyDescent="0.45"/>
    <row r="2572" customFormat="1" x14ac:dyDescent="0.45"/>
    <row r="2573" customFormat="1" x14ac:dyDescent="0.45"/>
    <row r="2574" customFormat="1" x14ac:dyDescent="0.45"/>
    <row r="2575" customFormat="1" x14ac:dyDescent="0.45"/>
    <row r="2576" customFormat="1" x14ac:dyDescent="0.45"/>
    <row r="2577" customFormat="1" x14ac:dyDescent="0.45"/>
    <row r="2578" customFormat="1" x14ac:dyDescent="0.45"/>
    <row r="2579" customFormat="1" x14ac:dyDescent="0.45"/>
    <row r="2580" customFormat="1" x14ac:dyDescent="0.45"/>
    <row r="2581" customFormat="1" x14ac:dyDescent="0.45"/>
    <row r="2582" customFormat="1" x14ac:dyDescent="0.45"/>
    <row r="2583" customFormat="1" x14ac:dyDescent="0.45"/>
    <row r="2584" customFormat="1" x14ac:dyDescent="0.45"/>
    <row r="2585" customFormat="1" x14ac:dyDescent="0.45"/>
    <row r="2586" customFormat="1" x14ac:dyDescent="0.45"/>
    <row r="2587" customFormat="1" x14ac:dyDescent="0.45"/>
    <row r="2588" customFormat="1" x14ac:dyDescent="0.45"/>
    <row r="2589" customFormat="1" x14ac:dyDescent="0.45"/>
    <row r="2590" customFormat="1" x14ac:dyDescent="0.45"/>
    <row r="2591" customFormat="1" x14ac:dyDescent="0.45"/>
    <row r="2592" customFormat="1" x14ac:dyDescent="0.45"/>
    <row r="2593" customFormat="1" x14ac:dyDescent="0.45"/>
    <row r="2594" customFormat="1" x14ac:dyDescent="0.45"/>
    <row r="2595" customFormat="1" x14ac:dyDescent="0.45"/>
    <row r="2596" customFormat="1" x14ac:dyDescent="0.45"/>
    <row r="2597" customFormat="1" x14ac:dyDescent="0.45"/>
    <row r="2598" customFormat="1" x14ac:dyDescent="0.45"/>
    <row r="2599" customFormat="1" x14ac:dyDescent="0.45"/>
    <row r="2600" customFormat="1" x14ac:dyDescent="0.45"/>
    <row r="2601" customFormat="1" x14ac:dyDescent="0.45"/>
    <row r="2602" customFormat="1" x14ac:dyDescent="0.45"/>
    <row r="2603" customFormat="1" x14ac:dyDescent="0.45"/>
    <row r="2604" customFormat="1" x14ac:dyDescent="0.45"/>
    <row r="2605" customFormat="1" x14ac:dyDescent="0.45"/>
    <row r="2606" customFormat="1" x14ac:dyDescent="0.45"/>
    <row r="2607" customFormat="1" x14ac:dyDescent="0.45"/>
    <row r="2608" customFormat="1" x14ac:dyDescent="0.45"/>
    <row r="2609" customFormat="1" x14ac:dyDescent="0.45"/>
    <row r="2610" customFormat="1" x14ac:dyDescent="0.45"/>
    <row r="2611" customFormat="1" x14ac:dyDescent="0.45"/>
    <row r="2612" customFormat="1" x14ac:dyDescent="0.45"/>
    <row r="2613" customFormat="1" x14ac:dyDescent="0.45"/>
    <row r="2614" customFormat="1" x14ac:dyDescent="0.45"/>
    <row r="2615" customFormat="1" x14ac:dyDescent="0.45"/>
    <row r="2616" customFormat="1" x14ac:dyDescent="0.45"/>
    <row r="2617" customFormat="1" x14ac:dyDescent="0.45"/>
    <row r="2618" customFormat="1" x14ac:dyDescent="0.45"/>
    <row r="2619" customFormat="1" x14ac:dyDescent="0.45"/>
    <row r="2620" customFormat="1" x14ac:dyDescent="0.45"/>
    <row r="2621" customFormat="1" x14ac:dyDescent="0.45"/>
    <row r="2622" customFormat="1" x14ac:dyDescent="0.45"/>
    <row r="2623" customFormat="1" x14ac:dyDescent="0.45"/>
    <row r="2624" customFormat="1" x14ac:dyDescent="0.45"/>
    <row r="2625" customFormat="1" x14ac:dyDescent="0.45"/>
    <row r="2626" customFormat="1" x14ac:dyDescent="0.45"/>
    <row r="2627" customFormat="1" x14ac:dyDescent="0.45"/>
    <row r="2628" customFormat="1" x14ac:dyDescent="0.45"/>
    <row r="2629" customFormat="1" x14ac:dyDescent="0.45"/>
    <row r="2630" customFormat="1" x14ac:dyDescent="0.45"/>
    <row r="2631" customFormat="1" x14ac:dyDescent="0.45"/>
    <row r="2632" customFormat="1" x14ac:dyDescent="0.45"/>
    <row r="2633" customFormat="1" x14ac:dyDescent="0.45"/>
    <row r="2634" customFormat="1" x14ac:dyDescent="0.45"/>
    <row r="2635" customFormat="1" x14ac:dyDescent="0.45"/>
    <row r="2636" customFormat="1" x14ac:dyDescent="0.45"/>
    <row r="2637" customFormat="1" x14ac:dyDescent="0.45"/>
    <row r="2638" customFormat="1" x14ac:dyDescent="0.45"/>
    <row r="2639" customFormat="1" x14ac:dyDescent="0.45"/>
    <row r="2640" customFormat="1" x14ac:dyDescent="0.45"/>
    <row r="2641" customFormat="1" x14ac:dyDescent="0.45"/>
    <row r="2642" customFormat="1" x14ac:dyDescent="0.45"/>
    <row r="2643" customFormat="1" x14ac:dyDescent="0.45"/>
    <row r="2644" customFormat="1" x14ac:dyDescent="0.45"/>
    <row r="2645" customFormat="1" x14ac:dyDescent="0.45"/>
    <row r="2646" customFormat="1" x14ac:dyDescent="0.45"/>
    <row r="2647" customFormat="1" x14ac:dyDescent="0.45"/>
    <row r="2648" customFormat="1" x14ac:dyDescent="0.45"/>
    <row r="2649" customFormat="1" x14ac:dyDescent="0.45"/>
    <row r="2650" customFormat="1" x14ac:dyDescent="0.45"/>
    <row r="2651" customFormat="1" x14ac:dyDescent="0.45"/>
    <row r="2652" customFormat="1" x14ac:dyDescent="0.45"/>
    <row r="2653" customFormat="1" x14ac:dyDescent="0.45"/>
    <row r="2654" customFormat="1" x14ac:dyDescent="0.45"/>
    <row r="2655" customFormat="1" x14ac:dyDescent="0.45"/>
    <row r="2656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"/>
  <dimension ref="A1:AB194"/>
  <sheetViews>
    <sheetView tabSelected="1" topLeftCell="B1" zoomScaleNormal="100" workbookViewId="0">
      <pane ySplit="9" topLeftCell="A10" activePane="bottomLeft" state="frozen"/>
      <selection pane="bottomLeft" activeCell="G25" sqref="G25"/>
    </sheetView>
  </sheetViews>
  <sheetFormatPr defaultColWidth="10" defaultRowHeight="14.25" x14ac:dyDescent="0.45"/>
  <cols>
    <col min="1" max="1" width="7.06640625" customWidth="1"/>
    <col min="2" max="2" width="15.86328125" customWidth="1"/>
    <col min="3" max="4" width="9.1328125" customWidth="1"/>
    <col min="5" max="5" width="6" customWidth="1"/>
    <col min="6" max="9" width="15.6640625" customWidth="1"/>
    <col min="10" max="10" width="4.1328125" hidden="1" customWidth="1"/>
    <col min="11" max="11" width="21.265625" customWidth="1"/>
    <col min="12" max="12" width="2" hidden="1" customWidth="1"/>
    <col min="13" max="14" width="10.1328125" hidden="1" customWidth="1"/>
    <col min="15" max="15" width="9.265625" hidden="1" customWidth="1"/>
    <col min="16" max="16" width="10.86328125" hidden="1" customWidth="1"/>
    <col min="17" max="17" width="5.73046875" hidden="1" customWidth="1"/>
    <col min="18" max="18" width="6.86328125" hidden="1" customWidth="1"/>
    <col min="19" max="19" width="5.3984375" hidden="1" customWidth="1"/>
    <col min="20" max="20" width="5.1328125" hidden="1" customWidth="1"/>
    <col min="21" max="21" width="9.1328125" hidden="1" customWidth="1"/>
    <col min="22" max="23" width="9.1328125" style="8" hidden="1" customWidth="1"/>
    <col min="24" max="24" width="0" style="8" hidden="1" customWidth="1"/>
    <col min="25" max="27" width="16.1328125" customWidth="1"/>
    <col min="28" max="28" width="16.1328125" style="36" customWidth="1"/>
  </cols>
  <sheetData>
    <row r="1" spans="1:28" x14ac:dyDescent="0.45">
      <c r="A1" s="8"/>
      <c r="B1" s="8"/>
      <c r="C1" s="8"/>
      <c r="D1" s="8"/>
      <c r="E1" s="10" t="s">
        <v>59</v>
      </c>
      <c r="F1" s="10" t="s">
        <v>167</v>
      </c>
      <c r="G1" s="8"/>
      <c r="H1" s="8"/>
      <c r="I1" s="8"/>
      <c r="J1" s="8"/>
      <c r="Z1" t="s">
        <v>113</v>
      </c>
      <c r="AA1" s="8"/>
      <c r="AB1" s="105" cm="1">
        <f t="array" ref="AB1">CEILING((SUMPRODUCT(--((ISNUMBER(SEARCH("докром",$K$10:$K$194))+ISNUMBER(SEARCH("косо",$K$10:$K$194)))&gt;0),$C$10:$C$194,$E$10:$E$194)+500*SUMPRODUCT(--((ISNUMBER(SEARCH("R",$K$10:$K$194))+ISNUMBER(SEARCH("радиус",$K$10:$K$194)))&gt;0),$E$10:$E$194))/1000,1.5)</f>
        <v>3</v>
      </c>
    </row>
    <row r="2" spans="1:28" x14ac:dyDescent="0.45">
      <c r="A2" s="8"/>
      <c r="B2" s="8"/>
      <c r="C2" s="8"/>
      <c r="D2" s="8"/>
      <c r="E2" s="10" t="s">
        <v>60</v>
      </c>
      <c r="F2" s="10" t="s">
        <v>166</v>
      </c>
      <c r="G2" s="8"/>
      <c r="H2" s="8"/>
      <c r="I2" s="8"/>
      <c r="J2" s="8"/>
      <c r="V2"/>
      <c r="W2"/>
      <c r="X2"/>
      <c r="Z2" s="8" t="s">
        <v>114</v>
      </c>
      <c r="AA2" s="8" t="s">
        <v>108</v>
      </c>
      <c r="AB2" s="31"/>
    </row>
    <row r="3" spans="1:28" x14ac:dyDescent="0.45">
      <c r="A3" s="43" t="s">
        <v>146</v>
      </c>
      <c r="B3" s="8"/>
      <c r="C3" s="52" t="str">
        <f>IF($K$6&lt;&gt;"",$K$6,"")</f>
        <v/>
      </c>
      <c r="D3" s="52"/>
      <c r="E3" s="52"/>
      <c r="F3" s="52"/>
      <c r="G3" s="52"/>
      <c r="H3" s="52"/>
      <c r="I3" s="52"/>
      <c r="J3" s="8"/>
      <c r="V3"/>
      <c r="W3"/>
      <c r="X3"/>
      <c r="Z3" s="37" t="s">
        <v>106</v>
      </c>
      <c r="AA3" s="8" t="s">
        <v>109</v>
      </c>
      <c r="AB3" s="31"/>
    </row>
    <row r="4" spans="1:28" x14ac:dyDescent="0.45">
      <c r="A4" s="47" t="s">
        <v>58</v>
      </c>
      <c r="B4" s="111" t="s">
        <v>147</v>
      </c>
      <c r="C4" s="51" t="s">
        <v>148</v>
      </c>
      <c r="D4" s="51"/>
      <c r="E4" s="92" t="s">
        <v>162</v>
      </c>
      <c r="F4" s="94"/>
      <c r="G4" s="65" t="s">
        <v>104</v>
      </c>
      <c r="H4" s="65"/>
      <c r="I4" s="95">
        <v>16</v>
      </c>
      <c r="L4" s="46"/>
      <c r="M4" s="46"/>
      <c r="N4" s="46"/>
      <c r="O4" s="46"/>
      <c r="P4" s="46"/>
      <c r="Y4" s="27"/>
      <c r="Z4" s="38" t="s">
        <v>105</v>
      </c>
      <c r="AA4" s="27" t="s">
        <v>110</v>
      </c>
      <c r="AB4" s="32"/>
    </row>
    <row r="5" spans="1:28" x14ac:dyDescent="0.45">
      <c r="A5" s="49" t="s">
        <v>150</v>
      </c>
      <c r="B5" s="108" t="s">
        <v>149</v>
      </c>
      <c r="C5" s="109"/>
      <c r="D5" s="109"/>
      <c r="E5" s="109"/>
      <c r="F5" s="109"/>
      <c r="G5" s="110"/>
      <c r="H5" s="56" t="str">
        <f>'KDT2'!W6</f>
        <v/>
      </c>
      <c r="I5" s="57"/>
      <c r="Z5" s="37" t="s">
        <v>107</v>
      </c>
      <c r="AA5" s="28"/>
      <c r="AB5" s="33"/>
    </row>
    <row r="6" spans="1:28" x14ac:dyDescent="0.45">
      <c r="A6" s="47" t="s">
        <v>57</v>
      </c>
      <c r="B6" s="92" t="s">
        <v>80</v>
      </c>
      <c r="C6" s="93"/>
      <c r="D6" s="93"/>
      <c r="E6" s="93"/>
      <c r="F6" s="93"/>
      <c r="G6" s="93"/>
      <c r="H6" s="93"/>
      <c r="I6" s="94"/>
      <c r="K6" t="str" cm="1">
        <f t="array" ref="K6">IF(OR(SUMPRODUCT(--ISERROR('KDT2'!$A$1:$X$304))&gt;0,$C$8&lt;&gt;"Длина (Х)",$D$8&lt;&gt;"Ширина (Y)",$E$8&lt;&gt;"Кол-во",$F$9&lt;&gt;"L1",$G$9&lt;&gt;"L2",$H$9&lt;&gt;"W1",$I$9&lt;&gt;"W2",$K$8&lt;&gt;"примечание"),"Бланк сломался - скачайте новый у нас на сайте","")</f>
        <v/>
      </c>
      <c r="Z6" s="8" t="s">
        <v>111</v>
      </c>
      <c r="AA6" s="29"/>
      <c r="AB6" s="34"/>
    </row>
    <row r="7" spans="1:28" x14ac:dyDescent="0.45">
      <c r="A7" s="11"/>
      <c r="B7" s="11"/>
      <c r="C7" s="11"/>
      <c r="D7" s="12"/>
      <c r="E7" s="12"/>
      <c r="F7" s="12"/>
      <c r="G7" s="12"/>
      <c r="H7" s="12"/>
      <c r="I7" s="48"/>
      <c r="Z7" s="28" t="s">
        <v>112</v>
      </c>
      <c r="AA7" s="12"/>
      <c r="AB7" s="35"/>
    </row>
    <row r="8" spans="1:28" x14ac:dyDescent="0.45">
      <c r="A8" s="60" t="s">
        <v>31</v>
      </c>
      <c r="B8" s="58" t="s">
        <v>103</v>
      </c>
      <c r="C8" s="106" t="s">
        <v>61</v>
      </c>
      <c r="D8" s="106" t="s">
        <v>62</v>
      </c>
      <c r="E8" s="55" t="s">
        <v>32</v>
      </c>
      <c r="F8" s="55" t="s">
        <v>121</v>
      </c>
      <c r="G8" s="55"/>
      <c r="H8" s="55" t="s">
        <v>122</v>
      </c>
      <c r="I8" s="55"/>
      <c r="J8" s="63" t="s">
        <v>8</v>
      </c>
      <c r="K8" s="53" t="s">
        <v>6</v>
      </c>
      <c r="L8" s="4"/>
      <c r="M8" s="59" t="s">
        <v>42</v>
      </c>
      <c r="N8" s="59"/>
      <c r="O8" s="59"/>
      <c r="P8" s="59"/>
      <c r="Q8" s="59" t="s">
        <v>47</v>
      </c>
      <c r="R8" s="59"/>
      <c r="S8" s="59"/>
      <c r="T8" s="59"/>
      <c r="U8" s="59" t="s">
        <v>55</v>
      </c>
      <c r="Y8" s="55" t="s">
        <v>124</v>
      </c>
      <c r="Z8" s="55"/>
      <c r="AA8" s="55" t="s">
        <v>123</v>
      </c>
      <c r="AB8" s="55"/>
    </row>
    <row r="9" spans="1:28" ht="17.25" customHeight="1" x14ac:dyDescent="0.45">
      <c r="A9" s="61"/>
      <c r="B9" s="55"/>
      <c r="C9" s="107"/>
      <c r="D9" s="107"/>
      <c r="E9" s="62"/>
      <c r="F9" s="9" t="s">
        <v>73</v>
      </c>
      <c r="G9" s="9" t="s">
        <v>74</v>
      </c>
      <c r="H9" s="9" t="s">
        <v>75</v>
      </c>
      <c r="I9" s="9" t="s">
        <v>76</v>
      </c>
      <c r="J9" s="64"/>
      <c r="K9" s="54"/>
      <c r="L9" s="4"/>
      <c r="M9" s="7" t="s">
        <v>45</v>
      </c>
      <c r="N9" s="7" t="s">
        <v>46</v>
      </c>
      <c r="O9" s="7" t="s">
        <v>43</v>
      </c>
      <c r="P9" s="7" t="s">
        <v>44</v>
      </c>
      <c r="Q9" s="7" t="s">
        <v>45</v>
      </c>
      <c r="R9" s="7" t="s">
        <v>46</v>
      </c>
      <c r="S9" s="7" t="s">
        <v>43</v>
      </c>
      <c r="T9" s="7" t="s">
        <v>44</v>
      </c>
      <c r="U9" s="59"/>
      <c r="Y9" s="9" t="s">
        <v>73</v>
      </c>
      <c r="Z9" s="9" t="s">
        <v>74</v>
      </c>
      <c r="AA9" s="9" t="s">
        <v>75</v>
      </c>
      <c r="AB9" s="9" t="s">
        <v>76</v>
      </c>
    </row>
    <row r="10" spans="1:28" x14ac:dyDescent="0.45">
      <c r="A10" s="21">
        <v>1</v>
      </c>
      <c r="B10" s="99" t="s">
        <v>168</v>
      </c>
      <c r="C10" s="96">
        <v>100</v>
      </c>
      <c r="D10" s="96">
        <v>100</v>
      </c>
      <c r="E10" s="97">
        <v>1</v>
      </c>
      <c r="F10" s="98">
        <v>1</v>
      </c>
      <c r="G10" s="98">
        <v>1</v>
      </c>
      <c r="H10" s="98">
        <v>1</v>
      </c>
      <c r="I10" s="98">
        <v>0</v>
      </c>
      <c r="J10" s="98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100"/>
      <c r="W10" s="100"/>
      <c r="X10" s="99"/>
      <c r="Y10" s="101"/>
      <c r="Z10" s="101"/>
      <c r="AA10" s="101"/>
      <c r="AB10" s="101"/>
    </row>
    <row r="11" spans="1:28" x14ac:dyDescent="0.45">
      <c r="A11" s="21">
        <v>2</v>
      </c>
      <c r="B11" s="99" t="s">
        <v>169</v>
      </c>
      <c r="C11" s="96">
        <v>699</v>
      </c>
      <c r="D11" s="96">
        <v>122</v>
      </c>
      <c r="E11" s="97">
        <v>2</v>
      </c>
      <c r="F11" s="98">
        <v>0</v>
      </c>
      <c r="G11" s="98">
        <v>1</v>
      </c>
      <c r="H11" s="98">
        <v>1</v>
      </c>
      <c r="I11" s="98">
        <v>1</v>
      </c>
      <c r="J11" s="98"/>
      <c r="K11" s="99"/>
      <c r="L11" s="102"/>
      <c r="M11" s="103"/>
      <c r="N11" s="103"/>
      <c r="O11" s="103"/>
      <c r="P11" s="103"/>
      <c r="Q11" s="103"/>
      <c r="R11" s="103"/>
      <c r="S11" s="103"/>
      <c r="T11" s="103"/>
      <c r="U11" s="103"/>
      <c r="V11" s="104"/>
      <c r="W11" s="104"/>
      <c r="X11" s="102"/>
      <c r="Y11" s="101"/>
      <c r="Z11" s="101"/>
      <c r="AA11" s="101"/>
      <c r="AB11" s="101"/>
    </row>
    <row r="12" spans="1:28" x14ac:dyDescent="0.45">
      <c r="A12" s="22">
        <v>3</v>
      </c>
      <c r="B12" s="99" t="s">
        <v>170</v>
      </c>
      <c r="C12" s="96">
        <v>200</v>
      </c>
      <c r="D12" s="96">
        <v>400</v>
      </c>
      <c r="E12" s="97">
        <v>2</v>
      </c>
      <c r="F12" s="98" t="s">
        <v>85</v>
      </c>
      <c r="G12" s="98" t="s">
        <v>50</v>
      </c>
      <c r="H12" s="98" t="s">
        <v>85</v>
      </c>
      <c r="I12" s="98" t="s">
        <v>85</v>
      </c>
      <c r="J12" s="98"/>
      <c r="K12" s="99" t="s">
        <v>165</v>
      </c>
      <c r="L12" s="102"/>
      <c r="M12" s="103"/>
      <c r="N12" s="103"/>
      <c r="O12" s="103"/>
      <c r="P12" s="103"/>
      <c r="Q12" s="103"/>
      <c r="R12" s="103"/>
      <c r="S12" s="103"/>
      <c r="T12" s="103"/>
      <c r="U12" s="103"/>
      <c r="V12" s="104"/>
      <c r="W12" s="104"/>
      <c r="X12" s="102"/>
      <c r="Y12" s="101"/>
      <c r="Z12" s="101"/>
      <c r="AA12" s="101"/>
      <c r="AB12" s="101"/>
    </row>
    <row r="13" spans="1:28" x14ac:dyDescent="0.45">
      <c r="A13" s="21">
        <v>4</v>
      </c>
      <c r="B13" s="99"/>
      <c r="C13" s="96">
        <v>383</v>
      </c>
      <c r="D13" s="96">
        <v>554</v>
      </c>
      <c r="E13" s="97">
        <v>2</v>
      </c>
      <c r="F13" s="98">
        <v>0.4</v>
      </c>
      <c r="G13" s="98">
        <v>0.4</v>
      </c>
      <c r="H13" s="98">
        <v>0.4</v>
      </c>
      <c r="I13" s="98">
        <v>0.4</v>
      </c>
      <c r="J13" s="98"/>
      <c r="K13" s="99"/>
      <c r="L13" s="102"/>
      <c r="M13" s="103"/>
      <c r="N13" s="103"/>
      <c r="O13" s="103"/>
      <c r="P13" s="103"/>
      <c r="Q13" s="103"/>
      <c r="R13" s="103"/>
      <c r="S13" s="103"/>
      <c r="T13" s="103"/>
      <c r="U13" s="103"/>
      <c r="V13" s="104"/>
      <c r="W13" s="104"/>
      <c r="X13" s="102"/>
      <c r="Y13" s="101"/>
      <c r="Z13" s="101"/>
      <c r="AA13" s="101"/>
      <c r="AB13" s="101"/>
    </row>
    <row r="14" spans="1:28" x14ac:dyDescent="0.45">
      <c r="A14" s="21">
        <v>5</v>
      </c>
      <c r="B14" s="99"/>
      <c r="C14" s="96">
        <v>367</v>
      </c>
      <c r="D14" s="96">
        <v>554</v>
      </c>
      <c r="E14" s="97">
        <v>2</v>
      </c>
      <c r="F14" s="98">
        <v>0.4</v>
      </c>
      <c r="G14" s="98">
        <v>0.4</v>
      </c>
      <c r="H14" s="98">
        <v>0.4</v>
      </c>
      <c r="I14" s="98">
        <v>0.4</v>
      </c>
      <c r="J14" s="98"/>
      <c r="K14" s="99" t="s">
        <v>163</v>
      </c>
      <c r="L14" s="102"/>
      <c r="M14" s="103"/>
      <c r="N14" s="103"/>
      <c r="O14" s="103"/>
      <c r="P14" s="103"/>
      <c r="Q14" s="103"/>
      <c r="R14" s="103"/>
      <c r="S14" s="103"/>
      <c r="T14" s="103"/>
      <c r="U14" s="103"/>
      <c r="V14" s="104"/>
      <c r="W14" s="104"/>
      <c r="X14" s="102"/>
      <c r="Y14" s="101"/>
      <c r="Z14" s="101"/>
      <c r="AA14" s="101"/>
      <c r="AB14" s="101"/>
    </row>
    <row r="15" spans="1:28" x14ac:dyDescent="0.45">
      <c r="A15" s="22">
        <v>6</v>
      </c>
      <c r="B15" s="99"/>
      <c r="C15" s="96">
        <v>699</v>
      </c>
      <c r="D15" s="96">
        <v>155</v>
      </c>
      <c r="E15" s="97">
        <v>2</v>
      </c>
      <c r="F15" s="98">
        <v>1</v>
      </c>
      <c r="G15" s="98">
        <v>1</v>
      </c>
      <c r="H15" s="98">
        <v>1</v>
      </c>
      <c r="I15" s="98">
        <v>2</v>
      </c>
      <c r="J15" s="98"/>
      <c r="K15" s="99"/>
      <c r="L15" s="102"/>
      <c r="M15" s="103"/>
      <c r="N15" s="103"/>
      <c r="O15" s="103"/>
      <c r="P15" s="103"/>
      <c r="Q15" s="103"/>
      <c r="R15" s="103"/>
      <c r="S15" s="103"/>
      <c r="T15" s="103"/>
      <c r="U15" s="103"/>
      <c r="V15" s="104"/>
      <c r="W15" s="104"/>
      <c r="X15" s="102"/>
      <c r="Y15" s="101"/>
      <c r="Z15" s="101"/>
      <c r="AA15" s="101"/>
      <c r="AB15" s="101"/>
    </row>
    <row r="16" spans="1:28" x14ac:dyDescent="0.45">
      <c r="A16" s="21">
        <v>7</v>
      </c>
      <c r="B16" s="99"/>
      <c r="C16" s="96">
        <v>155</v>
      </c>
      <c r="D16" s="96">
        <v>441</v>
      </c>
      <c r="E16" s="97">
        <v>2</v>
      </c>
      <c r="F16" s="98">
        <v>1</v>
      </c>
      <c r="G16" s="98">
        <v>0.4</v>
      </c>
      <c r="H16" s="98">
        <v>0.4</v>
      </c>
      <c r="I16" s="98">
        <v>0.4</v>
      </c>
      <c r="J16" s="98"/>
      <c r="K16" s="99" t="s">
        <v>164</v>
      </c>
      <c r="L16" s="102"/>
      <c r="M16" s="103"/>
      <c r="N16" s="103"/>
      <c r="O16" s="103"/>
      <c r="P16" s="103"/>
      <c r="Q16" s="103"/>
      <c r="R16" s="103"/>
      <c r="S16" s="103"/>
      <c r="T16" s="103"/>
      <c r="U16" s="103"/>
      <c r="V16" s="104"/>
      <c r="W16" s="104"/>
      <c r="X16" s="102"/>
      <c r="Y16" s="101"/>
      <c r="Z16" s="101"/>
      <c r="AA16" s="101"/>
      <c r="AB16" s="101"/>
    </row>
    <row r="17" spans="1:28" x14ac:dyDescent="0.45">
      <c r="A17" s="21">
        <v>8</v>
      </c>
      <c r="B17" s="99"/>
      <c r="C17" s="96">
        <v>439</v>
      </c>
      <c r="D17" s="96">
        <v>154</v>
      </c>
      <c r="E17" s="97">
        <v>1</v>
      </c>
      <c r="F17" s="98">
        <v>0.4</v>
      </c>
      <c r="G17" s="98">
        <v>0.4</v>
      </c>
      <c r="H17" s="98">
        <v>0.4</v>
      </c>
      <c r="I17" s="98">
        <v>0.4</v>
      </c>
      <c r="J17" s="98"/>
      <c r="K17" s="99"/>
      <c r="L17" s="102"/>
      <c r="M17" s="103"/>
      <c r="N17" s="103"/>
      <c r="O17" s="103"/>
      <c r="P17" s="103"/>
      <c r="Q17" s="103"/>
      <c r="R17" s="103"/>
      <c r="S17" s="103"/>
      <c r="T17" s="103"/>
      <c r="U17" s="103"/>
      <c r="V17" s="104"/>
      <c r="W17" s="104"/>
      <c r="X17" s="102"/>
      <c r="Y17" s="101"/>
      <c r="Z17" s="101"/>
      <c r="AA17" s="101"/>
      <c r="AB17" s="101"/>
    </row>
    <row r="18" spans="1:28" x14ac:dyDescent="0.45">
      <c r="A18" s="22">
        <v>9</v>
      </c>
      <c r="B18" s="99"/>
      <c r="C18" s="96">
        <v>496</v>
      </c>
      <c r="D18" s="96">
        <v>126</v>
      </c>
      <c r="E18" s="97">
        <v>2</v>
      </c>
      <c r="F18" s="98" t="s">
        <v>85</v>
      </c>
      <c r="G18" s="98" t="s">
        <v>50</v>
      </c>
      <c r="H18" s="98"/>
      <c r="I18" s="98"/>
      <c r="J18" s="98"/>
      <c r="K18" s="99" t="s">
        <v>145</v>
      </c>
      <c r="L18" s="102"/>
      <c r="M18" s="103"/>
      <c r="N18" s="103"/>
      <c r="O18" s="103"/>
      <c r="P18" s="103"/>
      <c r="Q18" s="103"/>
      <c r="R18" s="103"/>
      <c r="S18" s="103"/>
      <c r="T18" s="103"/>
      <c r="U18" s="103"/>
      <c r="V18" s="104"/>
      <c r="W18" s="104"/>
      <c r="X18" s="102"/>
      <c r="Y18" s="101"/>
      <c r="Z18" s="101"/>
      <c r="AA18" s="101"/>
      <c r="AB18" s="101"/>
    </row>
    <row r="19" spans="1:28" x14ac:dyDescent="0.45">
      <c r="A19" s="21">
        <v>10</v>
      </c>
      <c r="B19" s="99"/>
      <c r="C19" s="96">
        <v>439</v>
      </c>
      <c r="D19" s="96">
        <v>84</v>
      </c>
      <c r="E19" s="97">
        <v>1</v>
      </c>
      <c r="F19" s="98">
        <v>0.4</v>
      </c>
      <c r="G19" s="98">
        <v>0.4</v>
      </c>
      <c r="H19" s="98">
        <v>0.4</v>
      </c>
      <c r="I19" s="98">
        <v>0.4</v>
      </c>
      <c r="J19" s="98"/>
      <c r="K19" s="99"/>
      <c r="L19" s="102"/>
      <c r="M19" s="103"/>
      <c r="N19" s="103"/>
      <c r="O19" s="103"/>
      <c r="P19" s="103"/>
      <c r="Q19" s="103"/>
      <c r="R19" s="103"/>
      <c r="S19" s="103"/>
      <c r="T19" s="103"/>
      <c r="U19" s="103"/>
      <c r="V19" s="104"/>
      <c r="W19" s="104"/>
      <c r="X19" s="102"/>
      <c r="Y19" s="101"/>
      <c r="Z19" s="101"/>
      <c r="AA19" s="101"/>
      <c r="AB19" s="101"/>
    </row>
    <row r="20" spans="1:28" x14ac:dyDescent="0.45">
      <c r="A20" s="21">
        <v>11</v>
      </c>
      <c r="B20" s="99"/>
      <c r="C20" s="96">
        <v>496</v>
      </c>
      <c r="D20" s="96">
        <v>172</v>
      </c>
      <c r="E20" s="97">
        <v>2</v>
      </c>
      <c r="F20" s="98">
        <v>1</v>
      </c>
      <c r="G20" s="98">
        <v>0.4</v>
      </c>
      <c r="H20" s="98">
        <v>0.4</v>
      </c>
      <c r="I20" s="98">
        <v>0.4</v>
      </c>
      <c r="J20" s="98"/>
      <c r="K20" s="99" t="s">
        <v>144</v>
      </c>
      <c r="L20" s="102"/>
      <c r="M20" s="103"/>
      <c r="N20" s="103"/>
      <c r="O20" s="103"/>
      <c r="P20" s="103"/>
      <c r="Q20" s="103"/>
      <c r="R20" s="103"/>
      <c r="S20" s="103"/>
      <c r="T20" s="103"/>
      <c r="U20" s="103"/>
      <c r="V20" s="104"/>
      <c r="W20" s="104"/>
      <c r="X20" s="102"/>
      <c r="Y20" s="101"/>
      <c r="Z20" s="101"/>
      <c r="AA20" s="101"/>
      <c r="AB20" s="101"/>
    </row>
    <row r="21" spans="1:28" x14ac:dyDescent="0.45">
      <c r="A21" s="22">
        <v>12</v>
      </c>
      <c r="B21" s="99"/>
      <c r="C21" s="96">
        <v>367</v>
      </c>
      <c r="D21" s="96">
        <v>69</v>
      </c>
      <c r="E21" s="97">
        <v>1</v>
      </c>
      <c r="F21" s="98">
        <v>0.4</v>
      </c>
      <c r="G21" s="98">
        <v>1</v>
      </c>
      <c r="H21" s="98">
        <v>0.4</v>
      </c>
      <c r="I21" s="98">
        <v>0.4</v>
      </c>
      <c r="J21" s="98"/>
      <c r="K21" s="99"/>
      <c r="L21" s="102"/>
      <c r="M21" s="103"/>
      <c r="N21" s="103"/>
      <c r="O21" s="103"/>
      <c r="P21" s="103"/>
      <c r="Q21" s="103"/>
      <c r="R21" s="103"/>
      <c r="S21" s="103"/>
      <c r="T21" s="103"/>
      <c r="U21" s="103"/>
      <c r="V21" s="104"/>
      <c r="W21" s="104"/>
      <c r="X21" s="102"/>
      <c r="Y21" s="101"/>
      <c r="Z21" s="101"/>
      <c r="AA21" s="101"/>
      <c r="AB21" s="101"/>
    </row>
    <row r="22" spans="1:28" x14ac:dyDescent="0.45">
      <c r="A22" s="21">
        <v>13</v>
      </c>
      <c r="B22" s="99"/>
      <c r="C22" s="96">
        <v>100</v>
      </c>
      <c r="D22" s="96">
        <v>1000</v>
      </c>
      <c r="E22" s="97">
        <v>1</v>
      </c>
      <c r="F22" s="98"/>
      <c r="G22" s="98"/>
      <c r="H22" s="98"/>
      <c r="I22" s="98"/>
      <c r="J22" s="98"/>
      <c r="K22" s="99"/>
      <c r="L22" s="102"/>
      <c r="M22" s="103"/>
      <c r="N22" s="103"/>
      <c r="O22" s="103"/>
      <c r="P22" s="103"/>
      <c r="Q22" s="103"/>
      <c r="R22" s="103"/>
      <c r="S22" s="103"/>
      <c r="T22" s="103"/>
      <c r="U22" s="103"/>
      <c r="V22" s="104"/>
      <c r="W22" s="104"/>
      <c r="X22" s="102"/>
      <c r="Y22" s="101"/>
      <c r="Z22" s="101"/>
      <c r="AA22" s="101"/>
      <c r="AB22" s="101"/>
    </row>
    <row r="23" spans="1:28" x14ac:dyDescent="0.45">
      <c r="A23" s="21">
        <v>14</v>
      </c>
      <c r="B23" s="99"/>
      <c r="C23" s="96"/>
      <c r="D23" s="96"/>
      <c r="E23" s="97"/>
      <c r="F23" s="98"/>
      <c r="G23" s="98"/>
      <c r="H23" s="98"/>
      <c r="I23" s="98"/>
      <c r="J23" s="98"/>
      <c r="K23" s="99"/>
      <c r="L23" s="102"/>
      <c r="M23" s="103"/>
      <c r="N23" s="103"/>
      <c r="O23" s="103"/>
      <c r="P23" s="103"/>
      <c r="Q23" s="103"/>
      <c r="R23" s="103"/>
      <c r="S23" s="103"/>
      <c r="T23" s="103"/>
      <c r="U23" s="103"/>
      <c r="V23" s="104"/>
      <c r="W23" s="104"/>
      <c r="X23" s="102"/>
      <c r="Y23" s="101"/>
      <c r="Z23" s="101"/>
      <c r="AA23" s="101"/>
      <c r="AB23" s="101"/>
    </row>
    <row r="24" spans="1:28" x14ac:dyDescent="0.45">
      <c r="A24" s="22">
        <v>15</v>
      </c>
      <c r="B24" s="99"/>
      <c r="C24" s="96"/>
      <c r="D24" s="96"/>
      <c r="E24" s="97"/>
      <c r="F24" s="98"/>
      <c r="G24" s="98"/>
      <c r="H24" s="98"/>
      <c r="I24" s="98"/>
      <c r="J24" s="98"/>
      <c r="K24" s="99"/>
      <c r="L24" s="102"/>
      <c r="M24" s="103"/>
      <c r="N24" s="103"/>
      <c r="O24" s="103"/>
      <c r="P24" s="103"/>
      <c r="Q24" s="103"/>
      <c r="R24" s="103"/>
      <c r="S24" s="103"/>
      <c r="T24" s="103"/>
      <c r="U24" s="103"/>
      <c r="V24" s="104"/>
      <c r="W24" s="104"/>
      <c r="X24" s="102"/>
      <c r="Y24" s="101"/>
      <c r="Z24" s="101"/>
      <c r="AA24" s="101"/>
      <c r="AB24" s="101"/>
    </row>
    <row r="25" spans="1:28" x14ac:dyDescent="0.45">
      <c r="A25" s="21">
        <v>16</v>
      </c>
      <c r="B25" s="99"/>
      <c r="C25" s="96"/>
      <c r="D25" s="96"/>
      <c r="E25" s="97"/>
      <c r="F25" s="98"/>
      <c r="G25" s="98"/>
      <c r="H25" s="98"/>
      <c r="I25" s="98"/>
      <c r="J25" s="98"/>
      <c r="K25" s="99"/>
      <c r="L25" s="102"/>
      <c r="M25" s="103"/>
      <c r="N25" s="103"/>
      <c r="O25" s="103"/>
      <c r="P25" s="103"/>
      <c r="Q25" s="103"/>
      <c r="R25" s="103"/>
      <c r="S25" s="103"/>
      <c r="T25" s="103"/>
      <c r="U25" s="103"/>
      <c r="V25" s="104"/>
      <c r="W25" s="104"/>
      <c r="X25" s="102"/>
      <c r="Y25" s="101"/>
      <c r="Z25" s="101"/>
      <c r="AA25" s="101"/>
      <c r="AB25" s="101"/>
    </row>
    <row r="26" spans="1:28" x14ac:dyDescent="0.45">
      <c r="A26" s="21">
        <v>17</v>
      </c>
      <c r="B26" s="99"/>
      <c r="C26" s="96"/>
      <c r="D26" s="96"/>
      <c r="E26" s="97"/>
      <c r="F26" s="98"/>
      <c r="G26" s="98"/>
      <c r="H26" s="98"/>
      <c r="I26" s="98"/>
      <c r="J26" s="98"/>
      <c r="K26" s="99"/>
      <c r="L26" s="102"/>
      <c r="M26" s="103"/>
      <c r="N26" s="103"/>
      <c r="O26" s="103"/>
      <c r="P26" s="103"/>
      <c r="Q26" s="103"/>
      <c r="R26" s="103"/>
      <c r="S26" s="103"/>
      <c r="T26" s="103"/>
      <c r="U26" s="103"/>
      <c r="V26" s="104"/>
      <c r="W26" s="104"/>
      <c r="X26" s="102"/>
      <c r="Y26" s="101"/>
      <c r="Z26" s="101"/>
      <c r="AA26" s="101"/>
      <c r="AB26" s="101"/>
    </row>
    <row r="27" spans="1:28" x14ac:dyDescent="0.45">
      <c r="A27" s="22">
        <v>18</v>
      </c>
      <c r="B27" s="99"/>
      <c r="C27" s="96"/>
      <c r="D27" s="96"/>
      <c r="E27" s="97"/>
      <c r="F27" s="98"/>
      <c r="G27" s="98"/>
      <c r="H27" s="98"/>
      <c r="I27" s="98"/>
      <c r="J27" s="98"/>
      <c r="K27" s="99"/>
      <c r="L27" s="102"/>
      <c r="M27" s="103"/>
      <c r="N27" s="103"/>
      <c r="O27" s="103"/>
      <c r="P27" s="103"/>
      <c r="Q27" s="103"/>
      <c r="R27" s="103"/>
      <c r="S27" s="103"/>
      <c r="T27" s="103"/>
      <c r="U27" s="103"/>
      <c r="V27" s="104"/>
      <c r="W27" s="104"/>
      <c r="X27" s="102"/>
      <c r="Y27" s="101"/>
      <c r="Z27" s="101"/>
      <c r="AA27" s="101"/>
      <c r="AB27" s="101"/>
    </row>
    <row r="28" spans="1:28" x14ac:dyDescent="0.45">
      <c r="A28" s="21">
        <v>19</v>
      </c>
      <c r="B28" s="99"/>
      <c r="C28" s="96"/>
      <c r="D28" s="96"/>
      <c r="E28" s="97"/>
      <c r="F28" s="98"/>
      <c r="G28" s="98"/>
      <c r="H28" s="98"/>
      <c r="I28" s="98"/>
      <c r="J28" s="98"/>
      <c r="K28" s="99"/>
      <c r="L28" s="102"/>
      <c r="M28" s="103"/>
      <c r="N28" s="103"/>
      <c r="O28" s="103"/>
      <c r="P28" s="103"/>
      <c r="Q28" s="103"/>
      <c r="R28" s="103"/>
      <c r="S28" s="103"/>
      <c r="T28" s="103"/>
      <c r="U28" s="103"/>
      <c r="V28" s="104"/>
      <c r="W28" s="104"/>
      <c r="X28" s="102"/>
      <c r="Y28" s="101"/>
      <c r="Z28" s="101"/>
      <c r="AA28" s="101"/>
      <c r="AB28" s="101"/>
    </row>
    <row r="29" spans="1:28" x14ac:dyDescent="0.45">
      <c r="A29" s="21">
        <v>20</v>
      </c>
      <c r="B29" s="99"/>
      <c r="C29" s="96"/>
      <c r="D29" s="96"/>
      <c r="E29" s="97"/>
      <c r="F29" s="98"/>
      <c r="G29" s="98"/>
      <c r="H29" s="98"/>
      <c r="I29" s="98"/>
      <c r="J29" s="98"/>
      <c r="K29" s="99"/>
      <c r="L29" s="102"/>
      <c r="M29" s="103"/>
      <c r="N29" s="103"/>
      <c r="O29" s="103"/>
      <c r="P29" s="103"/>
      <c r="Q29" s="103"/>
      <c r="R29" s="103"/>
      <c r="S29" s="103"/>
      <c r="T29" s="103"/>
      <c r="U29" s="103"/>
      <c r="V29" s="104"/>
      <c r="W29" s="104"/>
      <c r="X29" s="102"/>
      <c r="Y29" s="101"/>
      <c r="Z29" s="101"/>
      <c r="AA29" s="101"/>
      <c r="AB29" s="101"/>
    </row>
    <row r="30" spans="1:28" x14ac:dyDescent="0.45">
      <c r="A30" s="22">
        <v>21</v>
      </c>
      <c r="B30" s="99"/>
      <c r="C30" s="96"/>
      <c r="D30" s="96"/>
      <c r="E30" s="97"/>
      <c r="F30" s="98"/>
      <c r="G30" s="98"/>
      <c r="H30" s="98"/>
      <c r="I30" s="98"/>
      <c r="J30" s="98"/>
      <c r="K30" s="99"/>
      <c r="L30" s="102"/>
      <c r="M30" s="103"/>
      <c r="N30" s="103"/>
      <c r="O30" s="103"/>
      <c r="P30" s="103"/>
      <c r="Q30" s="103"/>
      <c r="R30" s="103"/>
      <c r="S30" s="103"/>
      <c r="T30" s="103"/>
      <c r="U30" s="103"/>
      <c r="V30" s="104"/>
      <c r="W30" s="104"/>
      <c r="X30" s="102"/>
      <c r="Y30" s="101"/>
      <c r="Z30" s="101"/>
      <c r="AA30" s="101"/>
      <c r="AB30" s="101"/>
    </row>
    <row r="31" spans="1:28" x14ac:dyDescent="0.45">
      <c r="A31" s="21">
        <v>22</v>
      </c>
      <c r="B31" s="99"/>
      <c r="C31" s="96"/>
      <c r="D31" s="96"/>
      <c r="E31" s="97"/>
      <c r="F31" s="98"/>
      <c r="G31" s="98"/>
      <c r="H31" s="98"/>
      <c r="I31" s="98"/>
      <c r="J31" s="98"/>
      <c r="K31" s="99"/>
      <c r="L31" s="102"/>
      <c r="M31" s="103"/>
      <c r="N31" s="103"/>
      <c r="O31" s="103"/>
      <c r="P31" s="103"/>
      <c r="Q31" s="103"/>
      <c r="R31" s="103"/>
      <c r="S31" s="103"/>
      <c r="T31" s="103"/>
      <c r="U31" s="103"/>
      <c r="V31" s="104"/>
      <c r="W31" s="104"/>
      <c r="X31" s="102"/>
      <c r="Y31" s="101"/>
      <c r="Z31" s="101"/>
      <c r="AA31" s="101"/>
      <c r="AB31" s="101"/>
    </row>
    <row r="32" spans="1:28" x14ac:dyDescent="0.45">
      <c r="A32" s="21">
        <v>23</v>
      </c>
      <c r="B32" s="99"/>
      <c r="C32" s="96"/>
      <c r="D32" s="96"/>
      <c r="E32" s="97"/>
      <c r="F32" s="98"/>
      <c r="G32" s="98"/>
      <c r="H32" s="98"/>
      <c r="I32" s="98"/>
      <c r="J32" s="98"/>
      <c r="K32" s="99"/>
      <c r="L32" s="102"/>
      <c r="M32" s="103"/>
      <c r="N32" s="103"/>
      <c r="O32" s="103"/>
      <c r="P32" s="103"/>
      <c r="Q32" s="103"/>
      <c r="R32" s="103"/>
      <c r="S32" s="103"/>
      <c r="T32" s="103"/>
      <c r="U32" s="103"/>
      <c r="V32" s="104"/>
      <c r="W32" s="104"/>
      <c r="X32" s="102"/>
      <c r="Y32" s="101"/>
      <c r="Z32" s="101"/>
      <c r="AA32" s="101"/>
      <c r="AB32" s="101"/>
    </row>
    <row r="33" spans="1:28" x14ac:dyDescent="0.45">
      <c r="A33" s="22">
        <v>24</v>
      </c>
      <c r="B33" s="99"/>
      <c r="C33" s="96"/>
      <c r="D33" s="96"/>
      <c r="E33" s="97"/>
      <c r="F33" s="98"/>
      <c r="G33" s="98"/>
      <c r="H33" s="98"/>
      <c r="I33" s="98"/>
      <c r="J33" s="98"/>
      <c r="K33" s="99"/>
      <c r="L33" s="102"/>
      <c r="M33" s="103"/>
      <c r="N33" s="103"/>
      <c r="O33" s="103"/>
      <c r="P33" s="103"/>
      <c r="Q33" s="103"/>
      <c r="R33" s="103"/>
      <c r="S33" s="103"/>
      <c r="T33" s="103"/>
      <c r="U33" s="103"/>
      <c r="V33" s="104"/>
      <c r="W33" s="104"/>
      <c r="X33" s="102"/>
      <c r="Y33" s="101"/>
      <c r="Z33" s="101"/>
      <c r="AA33" s="101"/>
      <c r="AB33" s="101"/>
    </row>
    <row r="34" spans="1:28" x14ac:dyDescent="0.45">
      <c r="A34" s="21">
        <v>25</v>
      </c>
      <c r="B34" s="99"/>
      <c r="C34" s="96"/>
      <c r="D34" s="96"/>
      <c r="E34" s="97"/>
      <c r="F34" s="98"/>
      <c r="G34" s="98"/>
      <c r="H34" s="98"/>
      <c r="I34" s="98"/>
      <c r="J34" s="98"/>
      <c r="K34" s="99"/>
      <c r="L34" s="102"/>
      <c r="M34" s="103"/>
      <c r="N34" s="103"/>
      <c r="O34" s="103"/>
      <c r="P34" s="103"/>
      <c r="Q34" s="103"/>
      <c r="R34" s="103"/>
      <c r="S34" s="103"/>
      <c r="T34" s="103"/>
      <c r="U34" s="103"/>
      <c r="V34" s="104"/>
      <c r="W34" s="104"/>
      <c r="X34" s="102"/>
      <c r="Y34" s="101"/>
      <c r="Z34" s="101"/>
      <c r="AA34" s="101"/>
      <c r="AB34" s="101"/>
    </row>
    <row r="35" spans="1:28" x14ac:dyDescent="0.45">
      <c r="A35" s="21">
        <v>26</v>
      </c>
      <c r="B35" s="99"/>
      <c r="C35" s="96"/>
      <c r="D35" s="96"/>
      <c r="E35" s="97"/>
      <c r="F35" s="98"/>
      <c r="G35" s="98"/>
      <c r="H35" s="98"/>
      <c r="I35" s="98"/>
      <c r="J35" s="98"/>
      <c r="K35" s="99"/>
      <c r="L35" s="102"/>
      <c r="M35" s="103"/>
      <c r="N35" s="103"/>
      <c r="O35" s="103"/>
      <c r="P35" s="103"/>
      <c r="Q35" s="103"/>
      <c r="R35" s="103"/>
      <c r="S35" s="103"/>
      <c r="T35" s="103"/>
      <c r="U35" s="103"/>
      <c r="V35" s="104"/>
      <c r="W35" s="104"/>
      <c r="X35" s="102"/>
      <c r="Y35" s="101"/>
      <c r="Z35" s="101"/>
      <c r="AA35" s="101"/>
      <c r="AB35" s="101"/>
    </row>
    <row r="36" spans="1:28" x14ac:dyDescent="0.45">
      <c r="A36" s="22">
        <v>27</v>
      </c>
      <c r="B36" s="99"/>
      <c r="C36" s="96"/>
      <c r="D36" s="96"/>
      <c r="E36" s="97"/>
      <c r="F36" s="98"/>
      <c r="G36" s="98"/>
      <c r="H36" s="98"/>
      <c r="I36" s="98"/>
      <c r="J36" s="98"/>
      <c r="K36" s="99"/>
      <c r="L36" s="102"/>
      <c r="M36" s="103"/>
      <c r="N36" s="103"/>
      <c r="O36" s="103"/>
      <c r="P36" s="103"/>
      <c r="Q36" s="103"/>
      <c r="R36" s="103"/>
      <c r="S36" s="103"/>
      <c r="T36" s="103"/>
      <c r="U36" s="103"/>
      <c r="V36" s="104"/>
      <c r="W36" s="104"/>
      <c r="X36" s="102"/>
      <c r="Y36" s="101"/>
      <c r="Z36" s="101"/>
      <c r="AA36" s="101"/>
      <c r="AB36" s="101"/>
    </row>
    <row r="37" spans="1:28" x14ac:dyDescent="0.45">
      <c r="A37" s="21">
        <v>28</v>
      </c>
      <c r="B37" s="99"/>
      <c r="C37" s="96"/>
      <c r="D37" s="96"/>
      <c r="E37" s="97"/>
      <c r="F37" s="98"/>
      <c r="G37" s="98"/>
      <c r="H37" s="98"/>
      <c r="I37" s="98"/>
      <c r="J37" s="98"/>
      <c r="K37" s="99"/>
      <c r="L37" s="102"/>
      <c r="M37" s="103"/>
      <c r="N37" s="103"/>
      <c r="O37" s="103"/>
      <c r="P37" s="103"/>
      <c r="Q37" s="103"/>
      <c r="R37" s="103"/>
      <c r="S37" s="103"/>
      <c r="T37" s="103"/>
      <c r="U37" s="103"/>
      <c r="V37" s="104"/>
      <c r="W37" s="104"/>
      <c r="X37" s="102"/>
      <c r="Y37" s="101"/>
      <c r="Z37" s="101"/>
      <c r="AA37" s="101"/>
      <c r="AB37" s="101"/>
    </row>
    <row r="38" spans="1:28" x14ac:dyDescent="0.45">
      <c r="A38" s="21">
        <v>29</v>
      </c>
      <c r="B38" s="99"/>
      <c r="C38" s="96"/>
      <c r="D38" s="96"/>
      <c r="E38" s="97"/>
      <c r="F38" s="98"/>
      <c r="G38" s="98"/>
      <c r="H38" s="98"/>
      <c r="I38" s="98"/>
      <c r="J38" s="98"/>
      <c r="K38" s="99"/>
      <c r="L38" s="102"/>
      <c r="M38" s="103"/>
      <c r="N38" s="103"/>
      <c r="O38" s="103"/>
      <c r="P38" s="103"/>
      <c r="Q38" s="103"/>
      <c r="R38" s="103"/>
      <c r="S38" s="103"/>
      <c r="T38" s="103"/>
      <c r="U38" s="103"/>
      <c r="V38" s="104"/>
      <c r="W38" s="104"/>
      <c r="X38" s="102"/>
      <c r="Y38" s="101"/>
      <c r="Z38" s="101"/>
      <c r="AA38" s="101"/>
      <c r="AB38" s="101"/>
    </row>
    <row r="39" spans="1:28" x14ac:dyDescent="0.45">
      <c r="A39" s="22">
        <v>30</v>
      </c>
      <c r="B39" s="99"/>
      <c r="C39" s="96"/>
      <c r="D39" s="96"/>
      <c r="E39" s="97"/>
      <c r="F39" s="98"/>
      <c r="G39" s="98"/>
      <c r="H39" s="98"/>
      <c r="I39" s="98"/>
      <c r="J39" s="98"/>
      <c r="K39" s="99"/>
      <c r="L39" s="102"/>
      <c r="M39" s="103"/>
      <c r="N39" s="103"/>
      <c r="O39" s="103"/>
      <c r="P39" s="103"/>
      <c r="Q39" s="103"/>
      <c r="R39" s="103"/>
      <c r="S39" s="103"/>
      <c r="T39" s="103"/>
      <c r="U39" s="103"/>
      <c r="V39" s="104"/>
      <c r="W39" s="104"/>
      <c r="X39" s="102"/>
      <c r="Y39" s="101"/>
      <c r="Z39" s="101"/>
      <c r="AA39" s="101"/>
      <c r="AB39" s="101"/>
    </row>
    <row r="40" spans="1:28" x14ac:dyDescent="0.45">
      <c r="A40" s="21">
        <v>31</v>
      </c>
      <c r="B40" s="99"/>
      <c r="C40" s="96"/>
      <c r="D40" s="96"/>
      <c r="E40" s="97"/>
      <c r="F40" s="98"/>
      <c r="G40" s="98"/>
      <c r="H40" s="98"/>
      <c r="I40" s="98"/>
      <c r="J40" s="98"/>
      <c r="K40" s="99"/>
      <c r="L40" s="102"/>
      <c r="M40" s="103"/>
      <c r="N40" s="103"/>
      <c r="O40" s="103"/>
      <c r="P40" s="103"/>
      <c r="Q40" s="103"/>
      <c r="R40" s="103"/>
      <c r="S40" s="103"/>
      <c r="T40" s="103"/>
      <c r="U40" s="103"/>
      <c r="V40" s="104"/>
      <c r="W40" s="104"/>
      <c r="X40" s="102"/>
      <c r="Y40" s="101"/>
      <c r="Z40" s="101"/>
      <c r="AA40" s="101"/>
      <c r="AB40" s="101"/>
    </row>
    <row r="41" spans="1:28" x14ac:dyDescent="0.45">
      <c r="A41" s="21">
        <v>32</v>
      </c>
      <c r="B41" s="99"/>
      <c r="C41" s="96"/>
      <c r="D41" s="96"/>
      <c r="E41" s="97"/>
      <c r="F41" s="98"/>
      <c r="G41" s="98"/>
      <c r="H41" s="98"/>
      <c r="I41" s="98"/>
      <c r="J41" s="98"/>
      <c r="K41" s="99"/>
      <c r="L41" s="102"/>
      <c r="M41" s="103"/>
      <c r="N41" s="103"/>
      <c r="O41" s="103"/>
      <c r="P41" s="103"/>
      <c r="Q41" s="103"/>
      <c r="R41" s="103"/>
      <c r="S41" s="103"/>
      <c r="T41" s="103"/>
      <c r="U41" s="103"/>
      <c r="V41" s="104"/>
      <c r="W41" s="104"/>
      <c r="X41" s="102"/>
      <c r="Y41" s="101"/>
      <c r="Z41" s="101"/>
      <c r="AA41" s="101"/>
      <c r="AB41" s="101"/>
    </row>
    <row r="42" spans="1:28" x14ac:dyDescent="0.45">
      <c r="A42" s="22">
        <v>33</v>
      </c>
      <c r="B42" s="99"/>
      <c r="C42" s="96"/>
      <c r="D42" s="96"/>
      <c r="E42" s="97"/>
      <c r="F42" s="98"/>
      <c r="G42" s="98"/>
      <c r="H42" s="98"/>
      <c r="I42" s="98"/>
      <c r="J42" s="98"/>
      <c r="K42" s="99"/>
      <c r="L42" s="102"/>
      <c r="M42" s="103"/>
      <c r="N42" s="103"/>
      <c r="O42" s="103"/>
      <c r="P42" s="103"/>
      <c r="Q42" s="103"/>
      <c r="R42" s="103"/>
      <c r="S42" s="103"/>
      <c r="T42" s="103"/>
      <c r="U42" s="103"/>
      <c r="V42" s="104"/>
      <c r="W42" s="104"/>
      <c r="X42" s="102"/>
      <c r="Y42" s="101"/>
      <c r="Z42" s="101"/>
      <c r="AA42" s="101"/>
      <c r="AB42" s="101"/>
    </row>
    <row r="43" spans="1:28" x14ac:dyDescent="0.45">
      <c r="A43" s="21">
        <v>34</v>
      </c>
      <c r="B43" s="99"/>
      <c r="C43" s="96"/>
      <c r="D43" s="96"/>
      <c r="E43" s="97"/>
      <c r="F43" s="98"/>
      <c r="G43" s="98"/>
      <c r="H43" s="98"/>
      <c r="I43" s="98"/>
      <c r="J43" s="98"/>
      <c r="K43" s="99"/>
      <c r="L43" s="102"/>
      <c r="M43" s="103"/>
      <c r="N43" s="103"/>
      <c r="O43" s="103"/>
      <c r="P43" s="103"/>
      <c r="Q43" s="103"/>
      <c r="R43" s="103"/>
      <c r="S43" s="103"/>
      <c r="T43" s="103"/>
      <c r="U43" s="103"/>
      <c r="V43" s="104"/>
      <c r="W43" s="104"/>
      <c r="X43" s="102"/>
      <c r="Y43" s="101"/>
      <c r="Z43" s="101"/>
      <c r="AA43" s="101"/>
      <c r="AB43" s="101"/>
    </row>
    <row r="44" spans="1:28" x14ac:dyDescent="0.45">
      <c r="A44" s="21">
        <v>35</v>
      </c>
      <c r="B44" s="99"/>
      <c r="C44" s="96"/>
      <c r="D44" s="96"/>
      <c r="E44" s="97"/>
      <c r="F44" s="98"/>
      <c r="G44" s="98"/>
      <c r="H44" s="98"/>
      <c r="I44" s="98"/>
      <c r="J44" s="98"/>
      <c r="K44" s="99"/>
      <c r="L44" s="102"/>
      <c r="M44" s="103"/>
      <c r="N44" s="103"/>
      <c r="O44" s="103"/>
      <c r="P44" s="103"/>
      <c r="Q44" s="103"/>
      <c r="R44" s="103"/>
      <c r="S44" s="103"/>
      <c r="T44" s="103"/>
      <c r="U44" s="103"/>
      <c r="V44" s="104"/>
      <c r="W44" s="104"/>
      <c r="X44" s="102"/>
      <c r="Y44" s="101"/>
      <c r="Z44" s="101"/>
      <c r="AA44" s="101"/>
      <c r="AB44" s="101"/>
    </row>
    <row r="45" spans="1:28" x14ac:dyDescent="0.45">
      <c r="A45" s="22">
        <v>36</v>
      </c>
      <c r="B45" s="99"/>
      <c r="C45" s="96"/>
      <c r="D45" s="96"/>
      <c r="E45" s="97"/>
      <c r="F45" s="98"/>
      <c r="G45" s="98"/>
      <c r="H45" s="98"/>
      <c r="I45" s="98"/>
      <c r="J45" s="98"/>
      <c r="K45" s="99"/>
      <c r="L45" s="102"/>
      <c r="M45" s="103"/>
      <c r="N45" s="103"/>
      <c r="O45" s="103"/>
      <c r="P45" s="103"/>
      <c r="Q45" s="103"/>
      <c r="R45" s="103"/>
      <c r="S45" s="103"/>
      <c r="T45" s="103"/>
      <c r="U45" s="103"/>
      <c r="V45" s="104"/>
      <c r="W45" s="104"/>
      <c r="X45" s="102"/>
      <c r="Y45" s="101"/>
      <c r="Z45" s="101"/>
      <c r="AA45" s="101"/>
      <c r="AB45" s="101"/>
    </row>
    <row r="46" spans="1:28" x14ac:dyDescent="0.45">
      <c r="A46" s="21">
        <v>37</v>
      </c>
      <c r="B46" s="99"/>
      <c r="C46" s="96"/>
      <c r="D46" s="96"/>
      <c r="E46" s="97"/>
      <c r="F46" s="98"/>
      <c r="G46" s="98"/>
      <c r="H46" s="98"/>
      <c r="I46" s="98"/>
      <c r="J46" s="98"/>
      <c r="K46" s="99"/>
      <c r="L46" s="102"/>
      <c r="M46" s="103"/>
      <c r="N46" s="103"/>
      <c r="O46" s="103"/>
      <c r="P46" s="103"/>
      <c r="Q46" s="103"/>
      <c r="R46" s="103"/>
      <c r="S46" s="103"/>
      <c r="T46" s="103"/>
      <c r="U46" s="103"/>
      <c r="V46" s="104"/>
      <c r="W46" s="104"/>
      <c r="X46" s="102"/>
      <c r="Y46" s="101"/>
      <c r="Z46" s="101"/>
      <c r="AA46" s="101"/>
      <c r="AB46" s="101"/>
    </row>
    <row r="47" spans="1:28" x14ac:dyDescent="0.45">
      <c r="A47" s="21">
        <v>38</v>
      </c>
      <c r="B47" s="99"/>
      <c r="C47" s="96"/>
      <c r="D47" s="96"/>
      <c r="E47" s="97"/>
      <c r="F47" s="98"/>
      <c r="G47" s="98"/>
      <c r="H47" s="98"/>
      <c r="I47" s="98"/>
      <c r="J47" s="98"/>
      <c r="K47" s="99"/>
      <c r="L47" s="102"/>
      <c r="M47" s="103"/>
      <c r="N47" s="103"/>
      <c r="O47" s="103"/>
      <c r="P47" s="103"/>
      <c r="Q47" s="103"/>
      <c r="R47" s="103"/>
      <c r="S47" s="103"/>
      <c r="T47" s="103"/>
      <c r="U47" s="103"/>
      <c r="V47" s="104"/>
      <c r="W47" s="104"/>
      <c r="X47" s="102"/>
      <c r="Y47" s="101"/>
      <c r="Z47" s="101"/>
      <c r="AA47" s="101"/>
      <c r="AB47" s="101"/>
    </row>
    <row r="48" spans="1:28" x14ac:dyDescent="0.45">
      <c r="A48" s="22">
        <v>39</v>
      </c>
      <c r="B48" s="99"/>
      <c r="C48" s="96"/>
      <c r="D48" s="96"/>
      <c r="E48" s="97"/>
      <c r="F48" s="98"/>
      <c r="G48" s="98"/>
      <c r="H48" s="98"/>
      <c r="I48" s="98"/>
      <c r="J48" s="98"/>
      <c r="K48" s="99"/>
      <c r="L48" s="102"/>
      <c r="M48" s="103"/>
      <c r="N48" s="103"/>
      <c r="O48" s="103"/>
      <c r="P48" s="103"/>
      <c r="Q48" s="103"/>
      <c r="R48" s="103"/>
      <c r="S48" s="103"/>
      <c r="T48" s="103"/>
      <c r="U48" s="103"/>
      <c r="V48" s="104"/>
      <c r="W48" s="104"/>
      <c r="X48" s="102"/>
      <c r="Y48" s="101"/>
      <c r="Z48" s="101"/>
      <c r="AA48" s="101"/>
      <c r="AB48" s="101"/>
    </row>
    <row r="49" spans="1:28" x14ac:dyDescent="0.45">
      <c r="A49" s="21">
        <v>40</v>
      </c>
      <c r="B49" s="99"/>
      <c r="C49" s="96"/>
      <c r="D49" s="96"/>
      <c r="E49" s="97"/>
      <c r="F49" s="98"/>
      <c r="G49" s="98"/>
      <c r="H49" s="98"/>
      <c r="I49" s="98"/>
      <c r="J49" s="98"/>
      <c r="K49" s="99"/>
      <c r="L49" s="102"/>
      <c r="M49" s="103"/>
      <c r="N49" s="103"/>
      <c r="O49" s="103"/>
      <c r="P49" s="103"/>
      <c r="Q49" s="103"/>
      <c r="R49" s="103"/>
      <c r="S49" s="103"/>
      <c r="T49" s="103"/>
      <c r="U49" s="103"/>
      <c r="V49" s="104"/>
      <c r="W49" s="104"/>
      <c r="X49" s="102"/>
      <c r="Y49" s="101"/>
      <c r="Z49" s="101"/>
      <c r="AA49" s="101"/>
      <c r="AB49" s="101"/>
    </row>
    <row r="50" spans="1:28" x14ac:dyDescent="0.45">
      <c r="A50" s="21">
        <v>41</v>
      </c>
      <c r="B50" s="99"/>
      <c r="C50" s="96"/>
      <c r="D50" s="96"/>
      <c r="E50" s="97"/>
      <c r="F50" s="98"/>
      <c r="G50" s="98"/>
      <c r="H50" s="98"/>
      <c r="I50" s="98"/>
      <c r="J50" s="98"/>
      <c r="K50" s="99"/>
      <c r="L50" s="102"/>
      <c r="M50" s="103"/>
      <c r="N50" s="103"/>
      <c r="O50" s="103"/>
      <c r="P50" s="103"/>
      <c r="Q50" s="103"/>
      <c r="R50" s="103"/>
      <c r="S50" s="103"/>
      <c r="T50" s="103"/>
      <c r="U50" s="103"/>
      <c r="V50" s="104"/>
      <c r="W50" s="104"/>
      <c r="X50" s="102"/>
      <c r="Y50" s="101"/>
      <c r="Z50" s="101"/>
      <c r="AA50" s="101"/>
      <c r="AB50" s="101"/>
    </row>
    <row r="51" spans="1:28" x14ac:dyDescent="0.45">
      <c r="A51" s="22">
        <v>42</v>
      </c>
      <c r="B51" s="99"/>
      <c r="C51" s="96"/>
      <c r="D51" s="96"/>
      <c r="E51" s="97"/>
      <c r="F51" s="98"/>
      <c r="G51" s="98"/>
      <c r="H51" s="98"/>
      <c r="I51" s="98"/>
      <c r="J51" s="98"/>
      <c r="K51" s="99"/>
      <c r="L51" s="102"/>
      <c r="M51" s="103"/>
      <c r="N51" s="103"/>
      <c r="O51" s="103"/>
      <c r="P51" s="103"/>
      <c r="Q51" s="103"/>
      <c r="R51" s="103"/>
      <c r="S51" s="103"/>
      <c r="T51" s="103"/>
      <c r="U51" s="103"/>
      <c r="V51" s="104"/>
      <c r="W51" s="104"/>
      <c r="X51" s="102"/>
      <c r="Y51" s="101"/>
      <c r="Z51" s="101"/>
      <c r="AA51" s="101"/>
      <c r="AB51" s="101"/>
    </row>
    <row r="52" spans="1:28" x14ac:dyDescent="0.45">
      <c r="A52" s="21">
        <v>43</v>
      </c>
      <c r="B52" s="99"/>
      <c r="C52" s="96"/>
      <c r="D52" s="96"/>
      <c r="E52" s="97"/>
      <c r="F52" s="98"/>
      <c r="G52" s="98"/>
      <c r="H52" s="98"/>
      <c r="I52" s="98"/>
      <c r="J52" s="98"/>
      <c r="K52" s="99"/>
      <c r="L52" s="102"/>
      <c r="M52" s="103"/>
      <c r="N52" s="103"/>
      <c r="O52" s="103"/>
      <c r="P52" s="103"/>
      <c r="Q52" s="103"/>
      <c r="R52" s="103"/>
      <c r="S52" s="103"/>
      <c r="T52" s="103"/>
      <c r="U52" s="103"/>
      <c r="V52" s="104"/>
      <c r="W52" s="104"/>
      <c r="X52" s="102"/>
      <c r="Y52" s="101"/>
      <c r="Z52" s="101"/>
      <c r="AA52" s="101"/>
      <c r="AB52" s="101"/>
    </row>
    <row r="53" spans="1:28" x14ac:dyDescent="0.45">
      <c r="A53" s="21">
        <v>44</v>
      </c>
      <c r="B53" s="99"/>
      <c r="C53" s="96"/>
      <c r="D53" s="96"/>
      <c r="E53" s="97"/>
      <c r="F53" s="98"/>
      <c r="G53" s="98"/>
      <c r="H53" s="98"/>
      <c r="I53" s="98"/>
      <c r="J53" s="98"/>
      <c r="K53" s="99"/>
      <c r="L53" s="102"/>
      <c r="M53" s="103"/>
      <c r="N53" s="103"/>
      <c r="O53" s="103"/>
      <c r="P53" s="103"/>
      <c r="Q53" s="103"/>
      <c r="R53" s="103"/>
      <c r="S53" s="103"/>
      <c r="T53" s="103"/>
      <c r="U53" s="103"/>
      <c r="V53" s="104"/>
      <c r="W53" s="104"/>
      <c r="X53" s="102"/>
      <c r="Y53" s="101"/>
      <c r="Z53" s="101"/>
      <c r="AA53" s="101"/>
      <c r="AB53" s="101"/>
    </row>
    <row r="54" spans="1:28" x14ac:dyDescent="0.45">
      <c r="A54" s="22">
        <v>45</v>
      </c>
      <c r="B54" s="99"/>
      <c r="C54" s="96"/>
      <c r="D54" s="96"/>
      <c r="E54" s="97"/>
      <c r="F54" s="98"/>
      <c r="G54" s="98"/>
      <c r="H54" s="98"/>
      <c r="I54" s="98"/>
      <c r="J54" s="98"/>
      <c r="K54" s="99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4"/>
      <c r="W54" s="104"/>
      <c r="X54" s="102"/>
      <c r="Y54" s="101"/>
      <c r="Z54" s="101"/>
      <c r="AA54" s="101"/>
      <c r="AB54" s="101"/>
    </row>
    <row r="55" spans="1:28" x14ac:dyDescent="0.45">
      <c r="A55" s="21">
        <v>46</v>
      </c>
      <c r="B55" s="99"/>
      <c r="C55" s="96"/>
      <c r="D55" s="96"/>
      <c r="E55" s="97"/>
      <c r="F55" s="98"/>
      <c r="G55" s="98"/>
      <c r="H55" s="98"/>
      <c r="I55" s="98"/>
      <c r="J55" s="98"/>
      <c r="K55" s="99"/>
      <c r="L55" s="102"/>
      <c r="M55" s="103"/>
      <c r="N55" s="103"/>
      <c r="O55" s="103"/>
      <c r="P55" s="103"/>
      <c r="Q55" s="103"/>
      <c r="R55" s="103"/>
      <c r="S55" s="103"/>
      <c r="T55" s="103"/>
      <c r="U55" s="103"/>
      <c r="V55" s="104"/>
      <c r="W55" s="104"/>
      <c r="X55" s="102"/>
      <c r="Y55" s="101"/>
      <c r="Z55" s="101"/>
      <c r="AA55" s="101"/>
      <c r="AB55" s="101"/>
    </row>
    <row r="56" spans="1:28" x14ac:dyDescent="0.45">
      <c r="A56" s="21">
        <v>47</v>
      </c>
      <c r="B56" s="99"/>
      <c r="C56" s="96"/>
      <c r="D56" s="96"/>
      <c r="E56" s="97"/>
      <c r="F56" s="98"/>
      <c r="G56" s="98"/>
      <c r="H56" s="98"/>
      <c r="I56" s="98"/>
      <c r="J56" s="98"/>
      <c r="K56" s="99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4"/>
      <c r="W56" s="104"/>
      <c r="X56" s="102"/>
      <c r="Y56" s="101"/>
      <c r="Z56" s="101"/>
      <c r="AA56" s="101"/>
      <c r="AB56" s="101"/>
    </row>
    <row r="57" spans="1:28" x14ac:dyDescent="0.45">
      <c r="A57" s="22">
        <v>48</v>
      </c>
      <c r="B57" s="99"/>
      <c r="C57" s="96"/>
      <c r="D57" s="96"/>
      <c r="E57" s="97"/>
      <c r="F57" s="98"/>
      <c r="G57" s="98"/>
      <c r="H57" s="98"/>
      <c r="I57" s="98"/>
      <c r="J57" s="98"/>
      <c r="K57" s="99"/>
      <c r="L57" s="102"/>
      <c r="M57" s="103"/>
      <c r="N57" s="103"/>
      <c r="O57" s="103"/>
      <c r="P57" s="103"/>
      <c r="Q57" s="103"/>
      <c r="R57" s="103"/>
      <c r="S57" s="103"/>
      <c r="T57" s="103"/>
      <c r="U57" s="103"/>
      <c r="V57" s="104"/>
      <c r="W57" s="104"/>
      <c r="X57" s="102"/>
      <c r="Y57" s="101"/>
      <c r="Z57" s="101"/>
      <c r="AA57" s="101"/>
      <c r="AB57" s="101"/>
    </row>
    <row r="58" spans="1:28" x14ac:dyDescent="0.45">
      <c r="A58" s="21">
        <v>49</v>
      </c>
      <c r="B58" s="99"/>
      <c r="C58" s="96"/>
      <c r="D58" s="96"/>
      <c r="E58" s="97"/>
      <c r="F58" s="98"/>
      <c r="G58" s="98"/>
      <c r="H58" s="98"/>
      <c r="I58" s="98"/>
      <c r="J58" s="98"/>
      <c r="K58" s="99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4"/>
      <c r="W58" s="104"/>
      <c r="X58" s="102"/>
      <c r="Y58" s="101"/>
      <c r="Z58" s="101"/>
      <c r="AA58" s="101"/>
      <c r="AB58" s="101"/>
    </row>
    <row r="59" spans="1:28" x14ac:dyDescent="0.45">
      <c r="A59" s="21">
        <v>50</v>
      </c>
      <c r="B59" s="99"/>
      <c r="C59" s="96"/>
      <c r="D59" s="96"/>
      <c r="E59" s="97"/>
      <c r="F59" s="98"/>
      <c r="G59" s="98"/>
      <c r="H59" s="98"/>
      <c r="I59" s="98"/>
      <c r="J59" s="98"/>
      <c r="K59" s="99"/>
      <c r="L59" s="102"/>
      <c r="M59" s="103"/>
      <c r="N59" s="103"/>
      <c r="O59" s="103"/>
      <c r="P59" s="103"/>
      <c r="Q59" s="103"/>
      <c r="R59" s="103"/>
      <c r="S59" s="103"/>
      <c r="T59" s="103"/>
      <c r="U59" s="103"/>
      <c r="V59" s="104"/>
      <c r="W59" s="104"/>
      <c r="X59" s="102"/>
      <c r="Y59" s="101"/>
      <c r="Z59" s="101"/>
      <c r="AA59" s="101"/>
      <c r="AB59" s="101"/>
    </row>
    <row r="60" spans="1:28" x14ac:dyDescent="0.45">
      <c r="A60" s="22">
        <v>51</v>
      </c>
      <c r="B60" s="99"/>
      <c r="C60" s="96"/>
      <c r="D60" s="96"/>
      <c r="E60" s="97"/>
      <c r="F60" s="98"/>
      <c r="G60" s="98"/>
      <c r="H60" s="98"/>
      <c r="I60" s="98"/>
      <c r="J60" s="98"/>
      <c r="K60" s="99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4"/>
      <c r="W60" s="104"/>
      <c r="X60" s="102"/>
      <c r="Y60" s="101"/>
      <c r="Z60" s="101"/>
      <c r="AA60" s="101"/>
      <c r="AB60" s="101"/>
    </row>
    <row r="61" spans="1:28" x14ac:dyDescent="0.45">
      <c r="A61" s="21">
        <v>52</v>
      </c>
      <c r="B61" s="99"/>
      <c r="C61" s="96"/>
      <c r="D61" s="96"/>
      <c r="E61" s="97"/>
      <c r="F61" s="98"/>
      <c r="G61" s="98"/>
      <c r="H61" s="98"/>
      <c r="I61" s="98"/>
      <c r="J61" s="98"/>
      <c r="K61" s="99"/>
      <c r="L61" s="102"/>
      <c r="M61" s="103"/>
      <c r="N61" s="103"/>
      <c r="O61" s="103"/>
      <c r="P61" s="103"/>
      <c r="Q61" s="103"/>
      <c r="R61" s="103"/>
      <c r="S61" s="103"/>
      <c r="T61" s="103"/>
      <c r="U61" s="103"/>
      <c r="V61" s="104"/>
      <c r="W61" s="104"/>
      <c r="X61" s="102"/>
      <c r="Y61" s="101"/>
      <c r="Z61" s="101"/>
      <c r="AA61" s="101"/>
      <c r="AB61" s="101"/>
    </row>
    <row r="62" spans="1:28" x14ac:dyDescent="0.45">
      <c r="A62" s="21">
        <v>53</v>
      </c>
      <c r="B62" s="99"/>
      <c r="C62" s="96"/>
      <c r="D62" s="96"/>
      <c r="E62" s="97"/>
      <c r="F62" s="98"/>
      <c r="G62" s="98"/>
      <c r="H62" s="98"/>
      <c r="I62" s="98"/>
      <c r="J62" s="98"/>
      <c r="K62" s="99"/>
      <c r="L62" s="102"/>
      <c r="M62" s="103"/>
      <c r="N62" s="103"/>
      <c r="O62" s="103"/>
      <c r="P62" s="103"/>
      <c r="Q62" s="103"/>
      <c r="R62" s="103"/>
      <c r="S62" s="103"/>
      <c r="T62" s="103"/>
      <c r="U62" s="103"/>
      <c r="V62" s="104"/>
      <c r="W62" s="104"/>
      <c r="X62" s="102"/>
      <c r="Y62" s="101"/>
      <c r="Z62" s="101"/>
      <c r="AA62" s="101"/>
      <c r="AB62" s="101"/>
    </row>
    <row r="63" spans="1:28" x14ac:dyDescent="0.45">
      <c r="A63" s="22">
        <v>54</v>
      </c>
      <c r="B63" s="99"/>
      <c r="C63" s="96"/>
      <c r="D63" s="96"/>
      <c r="E63" s="97"/>
      <c r="F63" s="98"/>
      <c r="G63" s="98"/>
      <c r="H63" s="98"/>
      <c r="I63" s="98"/>
      <c r="J63" s="98"/>
      <c r="K63" s="99"/>
      <c r="L63" s="102"/>
      <c r="M63" s="103"/>
      <c r="N63" s="103"/>
      <c r="O63" s="103"/>
      <c r="P63" s="103"/>
      <c r="Q63" s="103"/>
      <c r="R63" s="103"/>
      <c r="S63" s="103"/>
      <c r="T63" s="103"/>
      <c r="U63" s="103"/>
      <c r="V63" s="104"/>
      <c r="W63" s="104"/>
      <c r="X63" s="102"/>
      <c r="Y63" s="101"/>
      <c r="Z63" s="101"/>
      <c r="AA63" s="101"/>
      <c r="AB63" s="101"/>
    </row>
    <row r="64" spans="1:28" x14ac:dyDescent="0.45">
      <c r="A64" s="21">
        <v>55</v>
      </c>
      <c r="B64" s="99"/>
      <c r="C64" s="96"/>
      <c r="D64" s="96"/>
      <c r="E64" s="97"/>
      <c r="F64" s="98"/>
      <c r="G64" s="98"/>
      <c r="H64" s="98"/>
      <c r="I64" s="98"/>
      <c r="J64" s="98"/>
      <c r="K64" s="99"/>
      <c r="L64" s="102"/>
      <c r="M64" s="103"/>
      <c r="N64" s="103"/>
      <c r="O64" s="103"/>
      <c r="P64" s="103"/>
      <c r="Q64" s="103"/>
      <c r="R64" s="103"/>
      <c r="S64" s="103"/>
      <c r="T64" s="103"/>
      <c r="U64" s="103"/>
      <c r="V64" s="104"/>
      <c r="W64" s="104"/>
      <c r="X64" s="102"/>
      <c r="Y64" s="101"/>
      <c r="Z64" s="101"/>
      <c r="AA64" s="101"/>
      <c r="AB64" s="101"/>
    </row>
    <row r="65" spans="1:28" x14ac:dyDescent="0.45">
      <c r="A65" s="21">
        <v>56</v>
      </c>
      <c r="B65" s="99"/>
      <c r="C65" s="96"/>
      <c r="D65" s="96"/>
      <c r="E65" s="97"/>
      <c r="F65" s="98"/>
      <c r="G65" s="98"/>
      <c r="H65" s="98"/>
      <c r="I65" s="98"/>
      <c r="J65" s="98"/>
      <c r="K65" s="99"/>
      <c r="L65" s="102"/>
      <c r="M65" s="103"/>
      <c r="N65" s="103"/>
      <c r="O65" s="103"/>
      <c r="P65" s="103"/>
      <c r="Q65" s="103"/>
      <c r="R65" s="103"/>
      <c r="S65" s="103"/>
      <c r="T65" s="103"/>
      <c r="U65" s="103"/>
      <c r="V65" s="104"/>
      <c r="W65" s="104"/>
      <c r="X65" s="102"/>
      <c r="Y65" s="101"/>
      <c r="Z65" s="101"/>
      <c r="AA65" s="101"/>
      <c r="AB65" s="101"/>
    </row>
    <row r="66" spans="1:28" x14ac:dyDescent="0.45">
      <c r="A66" s="22">
        <v>57</v>
      </c>
      <c r="B66" s="99"/>
      <c r="C66" s="96"/>
      <c r="D66" s="96"/>
      <c r="E66" s="97"/>
      <c r="F66" s="98"/>
      <c r="G66" s="98"/>
      <c r="H66" s="98"/>
      <c r="I66" s="98"/>
      <c r="J66" s="98"/>
      <c r="K66" s="99"/>
      <c r="L66" s="102"/>
      <c r="M66" s="103"/>
      <c r="N66" s="103"/>
      <c r="O66" s="103"/>
      <c r="P66" s="103"/>
      <c r="Q66" s="103"/>
      <c r="R66" s="103"/>
      <c r="S66" s="103"/>
      <c r="T66" s="103"/>
      <c r="U66" s="103"/>
      <c r="V66" s="104"/>
      <c r="W66" s="104"/>
      <c r="X66" s="102"/>
      <c r="Y66" s="101"/>
      <c r="Z66" s="101"/>
      <c r="AA66" s="101"/>
      <c r="AB66" s="101"/>
    </row>
    <row r="67" spans="1:28" x14ac:dyDescent="0.45">
      <c r="A67" s="21">
        <v>58</v>
      </c>
      <c r="B67" s="99"/>
      <c r="C67" s="96"/>
      <c r="D67" s="96"/>
      <c r="E67" s="97"/>
      <c r="F67" s="98"/>
      <c r="G67" s="98"/>
      <c r="H67" s="98"/>
      <c r="I67" s="98"/>
      <c r="J67" s="98"/>
      <c r="K67" s="99"/>
      <c r="L67" s="102"/>
      <c r="M67" s="103"/>
      <c r="N67" s="103"/>
      <c r="O67" s="103"/>
      <c r="P67" s="103"/>
      <c r="Q67" s="103"/>
      <c r="R67" s="103"/>
      <c r="S67" s="103"/>
      <c r="T67" s="103"/>
      <c r="U67" s="103"/>
      <c r="V67" s="104"/>
      <c r="W67" s="104"/>
      <c r="X67" s="102"/>
      <c r="Y67" s="101"/>
      <c r="Z67" s="101"/>
      <c r="AA67" s="101"/>
      <c r="AB67" s="101"/>
    </row>
    <row r="68" spans="1:28" x14ac:dyDescent="0.45">
      <c r="A68" s="21">
        <v>59</v>
      </c>
      <c r="B68" s="99"/>
      <c r="C68" s="96"/>
      <c r="D68" s="96"/>
      <c r="E68" s="97"/>
      <c r="F68" s="98"/>
      <c r="G68" s="98"/>
      <c r="H68" s="98"/>
      <c r="I68" s="98"/>
      <c r="J68" s="98"/>
      <c r="K68" s="99"/>
      <c r="L68" s="102"/>
      <c r="M68" s="103">
        <f>IF(ISBLANK(H68),0,VLOOKUP(H68,Справочник!$A$4:$C$11,2,0))</f>
        <v>0</v>
      </c>
      <c r="N68" s="103">
        <f>IF(ISBLANK(I68),0,VLOOKUP(I68,Справочник!$A$4:$C$11,2,0))</f>
        <v>0</v>
      </c>
      <c r="O68" s="103">
        <f>IF(ISBLANK(F68),0,VLOOKUP(F68,Справочник!$A$4:$C$11,2,0))</f>
        <v>0</v>
      </c>
      <c r="P68" s="103">
        <f>IF(ISBLANK(G68),0,VLOOKUP(G68,Справочник!$A$1:$C$11,2,0))</f>
        <v>0</v>
      </c>
      <c r="Q68" s="103">
        <f>IF(ISBLANK(H68),0,VLOOKUP(H68,Справочник!$A$4:$C$11,3,0))</f>
        <v>0</v>
      </c>
      <c r="R68" s="103">
        <f>IF(ISBLANK(I68),0,VLOOKUP(I68,Справочник!$A$4:$C$11,3,0))</f>
        <v>0</v>
      </c>
      <c r="S68" s="103">
        <f>IF(ISBLANK(F68),0,VLOOKUP(F68,Справочник!$A$4:$C$11,3,0))</f>
        <v>0</v>
      </c>
      <c r="T68" s="103">
        <f>IF(ISBLANK(G68),0,VLOOKUP(G68,Справочник!$A$4:$C$11,3,0))</f>
        <v>0</v>
      </c>
      <c r="U68" s="103">
        <f>IF(ISBLANK(J68),0,VLOOKUP(J68,Справочник!$E$4:$F$7,2,0))</f>
        <v>0</v>
      </c>
      <c r="V68" s="104">
        <f t="shared" ref="V68:V99" si="0">((C68*2+D68*2)/1000)*E68</f>
        <v>0</v>
      </c>
      <c r="W68" s="104">
        <f t="shared" ref="W68:W99" si="1">((C68+D68*2)/1000)*E68</f>
        <v>0</v>
      </c>
      <c r="X68" s="102"/>
      <c r="Y68" s="101"/>
      <c r="Z68" s="101"/>
      <c r="AA68" s="101"/>
      <c r="AB68" s="101"/>
    </row>
    <row r="69" spans="1:28" x14ac:dyDescent="0.45">
      <c r="A69" s="22">
        <v>60</v>
      </c>
      <c r="B69" s="99"/>
      <c r="C69" s="96"/>
      <c r="D69" s="96"/>
      <c r="E69" s="97"/>
      <c r="F69" s="98"/>
      <c r="G69" s="98"/>
      <c r="H69" s="98"/>
      <c r="I69" s="98"/>
      <c r="J69" s="98"/>
      <c r="K69" s="99"/>
      <c r="L69" s="102"/>
      <c r="M69" s="103">
        <f>IF(ISBLANK(H69),0,VLOOKUP(H69,Справочник!$A$4:$C$11,2,0))</f>
        <v>0</v>
      </c>
      <c r="N69" s="103">
        <f>IF(ISBLANK(I69),0,VLOOKUP(I69,Справочник!$A$4:$C$11,2,0))</f>
        <v>0</v>
      </c>
      <c r="O69" s="103">
        <f>IF(ISBLANK(F69),0,VLOOKUP(F69,Справочник!$A$4:$C$11,2,0))</f>
        <v>0</v>
      </c>
      <c r="P69" s="103">
        <f>IF(ISBLANK(G69),0,VLOOKUP(G69,Справочник!$A$1:$C$11,2,0))</f>
        <v>0</v>
      </c>
      <c r="Q69" s="103">
        <f>IF(ISBLANK(H69),0,VLOOKUP(H69,Справочник!$A$4:$C$11,3,0))</f>
        <v>0</v>
      </c>
      <c r="R69" s="103">
        <f>IF(ISBLANK(I69),0,VLOOKUP(I69,Справочник!$A$4:$C$11,3,0))</f>
        <v>0</v>
      </c>
      <c r="S69" s="103">
        <f>IF(ISBLANK(F69),0,VLOOKUP(F69,Справочник!$A$4:$C$11,3,0))</f>
        <v>0</v>
      </c>
      <c r="T69" s="103">
        <f>IF(ISBLANK(G69),0,VLOOKUP(G69,Справочник!$A$4:$C$11,3,0))</f>
        <v>0</v>
      </c>
      <c r="U69" s="103">
        <f>IF(ISBLANK(J69),0,VLOOKUP(J69,Справочник!$E$4:$F$7,2,0))</f>
        <v>0</v>
      </c>
      <c r="V69" s="104">
        <f t="shared" si="0"/>
        <v>0</v>
      </c>
      <c r="W69" s="104">
        <f t="shared" si="1"/>
        <v>0</v>
      </c>
      <c r="X69" s="102"/>
      <c r="Y69" s="101"/>
      <c r="Z69" s="101"/>
      <c r="AA69" s="101"/>
      <c r="AB69" s="101"/>
    </row>
    <row r="70" spans="1:28" x14ac:dyDescent="0.45">
      <c r="A70" s="21">
        <v>61</v>
      </c>
      <c r="B70" s="99"/>
      <c r="C70" s="96"/>
      <c r="D70" s="96"/>
      <c r="E70" s="97"/>
      <c r="F70" s="98"/>
      <c r="G70" s="98"/>
      <c r="H70" s="98"/>
      <c r="I70" s="98"/>
      <c r="J70" s="98"/>
      <c r="K70" s="99"/>
      <c r="L70" s="102"/>
      <c r="M70" s="103">
        <f>IF(ISBLANK(H70),0,VLOOKUP(H70,Справочник!$A$4:$C$11,2,0))</f>
        <v>0</v>
      </c>
      <c r="N70" s="103">
        <f>IF(ISBLANK(I70),0,VLOOKUP(I70,Справочник!$A$4:$C$11,2,0))</f>
        <v>0</v>
      </c>
      <c r="O70" s="103">
        <f>IF(ISBLANK(F70),0,VLOOKUP(F70,Справочник!$A$4:$C$11,2,0))</f>
        <v>0</v>
      </c>
      <c r="P70" s="103">
        <f>IF(ISBLANK(G70),0,VLOOKUP(G70,Справочник!$A$1:$C$11,2,0))</f>
        <v>0</v>
      </c>
      <c r="Q70" s="103">
        <f>IF(ISBLANK(H70),0,VLOOKUP(H70,Справочник!$A$4:$C$11,3,0))</f>
        <v>0</v>
      </c>
      <c r="R70" s="103">
        <f>IF(ISBLANK(I70),0,VLOOKUP(I70,Справочник!$A$4:$C$11,3,0))</f>
        <v>0</v>
      </c>
      <c r="S70" s="103">
        <f>IF(ISBLANK(F70),0,VLOOKUP(F70,Справочник!$A$4:$C$11,3,0))</f>
        <v>0</v>
      </c>
      <c r="T70" s="103">
        <f>IF(ISBLANK(G70),0,VLOOKUP(G70,Справочник!$A$4:$C$11,3,0))</f>
        <v>0</v>
      </c>
      <c r="U70" s="103">
        <f>IF(ISBLANK(J70),0,VLOOKUP(J70,Справочник!$E$4:$F$7,2,0))</f>
        <v>0</v>
      </c>
      <c r="V70" s="104">
        <f t="shared" si="0"/>
        <v>0</v>
      </c>
      <c r="W70" s="104">
        <f t="shared" si="1"/>
        <v>0</v>
      </c>
      <c r="X70" s="102"/>
      <c r="Y70" s="101"/>
      <c r="Z70" s="101"/>
      <c r="AA70" s="101"/>
      <c r="AB70" s="101"/>
    </row>
    <row r="71" spans="1:28" x14ac:dyDescent="0.45">
      <c r="A71" s="21">
        <v>62</v>
      </c>
      <c r="B71" s="99"/>
      <c r="C71" s="96"/>
      <c r="D71" s="96"/>
      <c r="E71" s="97"/>
      <c r="F71" s="98"/>
      <c r="G71" s="98"/>
      <c r="H71" s="98"/>
      <c r="I71" s="98"/>
      <c r="J71" s="98"/>
      <c r="K71" s="99"/>
      <c r="L71" s="102"/>
      <c r="M71" s="103">
        <f>IF(ISBLANK(H71),0,VLOOKUP(H71,Справочник!$A$4:$C$11,2,0))</f>
        <v>0</v>
      </c>
      <c r="N71" s="103">
        <f>IF(ISBLANK(I71),0,VLOOKUP(I71,Справочник!$A$4:$C$11,2,0))</f>
        <v>0</v>
      </c>
      <c r="O71" s="103">
        <f>IF(ISBLANK(F71),0,VLOOKUP(F71,Справочник!$A$4:$C$11,2,0))</f>
        <v>0</v>
      </c>
      <c r="P71" s="103">
        <f>IF(ISBLANK(G71),0,VLOOKUP(G71,Справочник!$A$1:$C$11,2,0))</f>
        <v>0</v>
      </c>
      <c r="Q71" s="103">
        <f>IF(ISBLANK(H71),0,VLOOKUP(H71,Справочник!$A$4:$C$11,3,0))</f>
        <v>0</v>
      </c>
      <c r="R71" s="103">
        <f>IF(ISBLANK(I71),0,VLOOKUP(I71,Справочник!$A$4:$C$11,3,0))</f>
        <v>0</v>
      </c>
      <c r="S71" s="103">
        <f>IF(ISBLANK(F71),0,VLOOKUP(F71,Справочник!$A$4:$C$11,3,0))</f>
        <v>0</v>
      </c>
      <c r="T71" s="103">
        <f>IF(ISBLANK(G71),0,VLOOKUP(G71,Справочник!$A$4:$C$11,3,0))</f>
        <v>0</v>
      </c>
      <c r="U71" s="103">
        <f>IF(ISBLANK(J71),0,VLOOKUP(J71,Справочник!$E$4:$F$7,2,0))</f>
        <v>0</v>
      </c>
      <c r="V71" s="104">
        <f t="shared" si="0"/>
        <v>0</v>
      </c>
      <c r="W71" s="104">
        <f t="shared" si="1"/>
        <v>0</v>
      </c>
      <c r="X71" s="102"/>
      <c r="Y71" s="101"/>
      <c r="Z71" s="101"/>
      <c r="AA71" s="101"/>
      <c r="AB71" s="101"/>
    </row>
    <row r="72" spans="1:28" x14ac:dyDescent="0.45">
      <c r="A72" s="22">
        <v>63</v>
      </c>
      <c r="B72" s="99"/>
      <c r="C72" s="96"/>
      <c r="D72" s="96"/>
      <c r="E72" s="97"/>
      <c r="F72" s="98"/>
      <c r="G72" s="98"/>
      <c r="H72" s="98"/>
      <c r="I72" s="98"/>
      <c r="J72" s="98"/>
      <c r="K72" s="99"/>
      <c r="L72" s="102"/>
      <c r="M72" s="103">
        <f>IF(ISBLANK(H72),0,VLOOKUP(H72,Справочник!$A$4:$C$11,2,0))</f>
        <v>0</v>
      </c>
      <c r="N72" s="103">
        <f>IF(ISBLANK(I72),0,VLOOKUP(I72,Справочник!$A$4:$C$11,2,0))</f>
        <v>0</v>
      </c>
      <c r="O72" s="103">
        <f>IF(ISBLANK(F72),0,VLOOKUP(F72,Справочник!$A$4:$C$11,2,0))</f>
        <v>0</v>
      </c>
      <c r="P72" s="103">
        <f>IF(ISBLANK(G72),0,VLOOKUP(G72,Справочник!$A$1:$C$11,2,0))</f>
        <v>0</v>
      </c>
      <c r="Q72" s="103">
        <f>IF(ISBLANK(H72),0,VLOOKUP(H72,Справочник!$A$4:$C$11,3,0))</f>
        <v>0</v>
      </c>
      <c r="R72" s="103">
        <f>IF(ISBLANK(I72),0,VLOOKUP(I72,Справочник!$A$4:$C$11,3,0))</f>
        <v>0</v>
      </c>
      <c r="S72" s="103">
        <f>IF(ISBLANK(F72),0,VLOOKUP(F72,Справочник!$A$4:$C$11,3,0))</f>
        <v>0</v>
      </c>
      <c r="T72" s="103">
        <f>IF(ISBLANK(G72),0,VLOOKUP(G72,Справочник!$A$4:$C$11,3,0))</f>
        <v>0</v>
      </c>
      <c r="U72" s="103">
        <f>IF(ISBLANK(J72),0,VLOOKUP(J72,Справочник!$E$4:$F$7,2,0))</f>
        <v>0</v>
      </c>
      <c r="V72" s="104">
        <f t="shared" si="0"/>
        <v>0</v>
      </c>
      <c r="W72" s="104">
        <f t="shared" si="1"/>
        <v>0</v>
      </c>
      <c r="X72" s="102"/>
      <c r="Y72" s="101"/>
      <c r="Z72" s="101"/>
      <c r="AA72" s="101"/>
      <c r="AB72" s="101"/>
    </row>
    <row r="73" spans="1:28" x14ac:dyDescent="0.45">
      <c r="A73" s="21">
        <v>64</v>
      </c>
      <c r="B73" s="99"/>
      <c r="C73" s="96"/>
      <c r="D73" s="96"/>
      <c r="E73" s="97"/>
      <c r="F73" s="98"/>
      <c r="G73" s="98"/>
      <c r="H73" s="98"/>
      <c r="I73" s="98"/>
      <c r="J73" s="98"/>
      <c r="K73" s="99"/>
      <c r="L73" s="102"/>
      <c r="M73" s="103">
        <f>IF(ISBLANK(H73),0,VLOOKUP(H73,Справочник!$A$4:$C$11,2,0))</f>
        <v>0</v>
      </c>
      <c r="N73" s="103">
        <f>IF(ISBLANK(I73),0,VLOOKUP(I73,Справочник!$A$4:$C$11,2,0))</f>
        <v>0</v>
      </c>
      <c r="O73" s="103">
        <f>IF(ISBLANK(F73),0,VLOOKUP(F73,Справочник!$A$4:$C$11,2,0))</f>
        <v>0</v>
      </c>
      <c r="P73" s="103">
        <f>IF(ISBLANK(G73),0,VLOOKUP(G73,Справочник!$A$1:$C$11,2,0))</f>
        <v>0</v>
      </c>
      <c r="Q73" s="103">
        <f>IF(ISBLANK(H73),0,VLOOKUP(H73,Справочник!$A$4:$C$11,3,0))</f>
        <v>0</v>
      </c>
      <c r="R73" s="103">
        <f>IF(ISBLANK(I73),0,VLOOKUP(I73,Справочник!$A$4:$C$11,3,0))</f>
        <v>0</v>
      </c>
      <c r="S73" s="103">
        <f>IF(ISBLANK(F73),0,VLOOKUP(F73,Справочник!$A$4:$C$11,3,0))</f>
        <v>0</v>
      </c>
      <c r="T73" s="103">
        <f>IF(ISBLANK(G73),0,VLOOKUP(G73,Справочник!$A$4:$C$11,3,0))</f>
        <v>0</v>
      </c>
      <c r="U73" s="103">
        <f>IF(ISBLANK(J73),0,VLOOKUP(J73,Справочник!$E$4:$F$7,2,0))</f>
        <v>0</v>
      </c>
      <c r="V73" s="104">
        <f t="shared" si="0"/>
        <v>0</v>
      </c>
      <c r="W73" s="104">
        <f t="shared" si="1"/>
        <v>0</v>
      </c>
      <c r="X73" s="102"/>
      <c r="Y73" s="101"/>
      <c r="Z73" s="101"/>
      <c r="AA73" s="101"/>
      <c r="AB73" s="101"/>
    </row>
    <row r="74" spans="1:28" x14ac:dyDescent="0.45">
      <c r="A74" s="21">
        <v>65</v>
      </c>
      <c r="B74" s="99"/>
      <c r="C74" s="96"/>
      <c r="D74" s="96"/>
      <c r="E74" s="97"/>
      <c r="F74" s="98"/>
      <c r="G74" s="98"/>
      <c r="H74" s="98"/>
      <c r="I74" s="98"/>
      <c r="J74" s="98"/>
      <c r="K74" s="99"/>
      <c r="L74" s="102"/>
      <c r="M74" s="103">
        <f>IF(ISBLANK(H74),0,VLOOKUP(H74,Справочник!$A$4:$C$11,2,0))</f>
        <v>0</v>
      </c>
      <c r="N74" s="103">
        <f>IF(ISBLANK(I74),0,VLOOKUP(I74,Справочник!$A$4:$C$11,2,0))</f>
        <v>0</v>
      </c>
      <c r="O74" s="103">
        <f>IF(ISBLANK(F74),0,VLOOKUP(F74,Справочник!$A$4:$C$11,2,0))</f>
        <v>0</v>
      </c>
      <c r="P74" s="103">
        <f>IF(ISBLANK(G74),0,VLOOKUP(G74,Справочник!$A$1:$C$11,2,0))</f>
        <v>0</v>
      </c>
      <c r="Q74" s="103">
        <f>IF(ISBLANK(H74),0,VLOOKUP(H74,Справочник!$A$4:$C$11,3,0))</f>
        <v>0</v>
      </c>
      <c r="R74" s="103">
        <f>IF(ISBLANK(I74),0,VLOOKUP(I74,Справочник!$A$4:$C$11,3,0))</f>
        <v>0</v>
      </c>
      <c r="S74" s="103">
        <f>IF(ISBLANK(F74),0,VLOOKUP(F74,Справочник!$A$4:$C$11,3,0))</f>
        <v>0</v>
      </c>
      <c r="T74" s="103">
        <f>IF(ISBLANK(G74),0,VLOOKUP(G74,Справочник!$A$4:$C$11,3,0))</f>
        <v>0</v>
      </c>
      <c r="U74" s="103">
        <f>IF(ISBLANK(J74),0,VLOOKUP(J74,Справочник!$E$4:$F$7,2,0))</f>
        <v>0</v>
      </c>
      <c r="V74" s="104">
        <f t="shared" si="0"/>
        <v>0</v>
      </c>
      <c r="W74" s="104">
        <f t="shared" si="1"/>
        <v>0</v>
      </c>
      <c r="X74" s="102"/>
      <c r="Y74" s="101"/>
      <c r="Z74" s="101"/>
      <c r="AA74" s="101"/>
      <c r="AB74" s="101"/>
    </row>
    <row r="75" spans="1:28" x14ac:dyDescent="0.45">
      <c r="A75" s="22">
        <v>66</v>
      </c>
      <c r="B75" s="99"/>
      <c r="C75" s="96"/>
      <c r="D75" s="96"/>
      <c r="E75" s="97"/>
      <c r="F75" s="98"/>
      <c r="G75" s="98"/>
      <c r="H75" s="98"/>
      <c r="I75" s="98"/>
      <c r="J75" s="98"/>
      <c r="K75" s="99"/>
      <c r="L75" s="102"/>
      <c r="M75" s="103">
        <f>IF(ISBLANK(H75),0,VLOOKUP(H75,Справочник!$A$4:$C$11,2,0))</f>
        <v>0</v>
      </c>
      <c r="N75" s="103">
        <f>IF(ISBLANK(I75),0,VLOOKUP(I75,Справочник!$A$4:$C$11,2,0))</f>
        <v>0</v>
      </c>
      <c r="O75" s="103">
        <f>IF(ISBLANK(F75),0,VLOOKUP(F75,Справочник!$A$4:$C$11,2,0))</f>
        <v>0</v>
      </c>
      <c r="P75" s="103">
        <f>IF(ISBLANK(G75),0,VLOOKUP(G75,Справочник!$A$1:$C$11,2,0))</f>
        <v>0</v>
      </c>
      <c r="Q75" s="103">
        <f>IF(ISBLANK(H75),0,VLOOKUP(H75,Справочник!$A$4:$C$11,3,0))</f>
        <v>0</v>
      </c>
      <c r="R75" s="103">
        <f>IF(ISBLANK(I75),0,VLOOKUP(I75,Справочник!$A$4:$C$11,3,0))</f>
        <v>0</v>
      </c>
      <c r="S75" s="103">
        <f>IF(ISBLANK(F75),0,VLOOKUP(F75,Справочник!$A$4:$C$11,3,0))</f>
        <v>0</v>
      </c>
      <c r="T75" s="103">
        <f>IF(ISBLANK(G75),0,VLOOKUP(G75,Справочник!$A$4:$C$11,3,0))</f>
        <v>0</v>
      </c>
      <c r="U75" s="103">
        <f>IF(ISBLANK(J75),0,VLOOKUP(J75,Справочник!$E$4:$F$7,2,0))</f>
        <v>0</v>
      </c>
      <c r="V75" s="104">
        <f t="shared" si="0"/>
        <v>0</v>
      </c>
      <c r="W75" s="104">
        <f t="shared" si="1"/>
        <v>0</v>
      </c>
      <c r="X75" s="102"/>
      <c r="Y75" s="101"/>
      <c r="Z75" s="101"/>
      <c r="AA75" s="101"/>
      <c r="AB75" s="101"/>
    </row>
    <row r="76" spans="1:28" x14ac:dyDescent="0.45">
      <c r="A76" s="21">
        <v>67</v>
      </c>
      <c r="B76" s="99"/>
      <c r="C76" s="96"/>
      <c r="D76" s="96"/>
      <c r="E76" s="97"/>
      <c r="F76" s="98"/>
      <c r="G76" s="98"/>
      <c r="H76" s="98"/>
      <c r="I76" s="98"/>
      <c r="J76" s="98"/>
      <c r="K76" s="99"/>
      <c r="L76" s="102"/>
      <c r="M76" s="103">
        <f>IF(ISBLANK(H76),0,VLOOKUP(H76,Справочник!$A$4:$C$11,2,0))</f>
        <v>0</v>
      </c>
      <c r="N76" s="103">
        <f>IF(ISBLANK(I76),0,VLOOKUP(I76,Справочник!$A$4:$C$11,2,0))</f>
        <v>0</v>
      </c>
      <c r="O76" s="103">
        <f>IF(ISBLANK(F76),0,VLOOKUP(F76,Справочник!$A$4:$C$11,2,0))</f>
        <v>0</v>
      </c>
      <c r="P76" s="103">
        <f>IF(ISBLANK(G76),0,VLOOKUP(G76,Справочник!$A$1:$C$11,2,0))</f>
        <v>0</v>
      </c>
      <c r="Q76" s="103">
        <f>IF(ISBLANK(H76),0,VLOOKUP(H76,Справочник!$A$4:$C$11,3,0))</f>
        <v>0</v>
      </c>
      <c r="R76" s="103">
        <f>IF(ISBLANK(I76),0,VLOOKUP(I76,Справочник!$A$4:$C$11,3,0))</f>
        <v>0</v>
      </c>
      <c r="S76" s="103">
        <f>IF(ISBLANK(F76),0,VLOOKUP(F76,Справочник!$A$4:$C$11,3,0))</f>
        <v>0</v>
      </c>
      <c r="T76" s="103">
        <f>IF(ISBLANK(G76),0,VLOOKUP(G76,Справочник!$A$4:$C$11,3,0))</f>
        <v>0</v>
      </c>
      <c r="U76" s="103">
        <f>IF(ISBLANK(J76),0,VLOOKUP(J76,Справочник!$E$4:$F$7,2,0))</f>
        <v>0</v>
      </c>
      <c r="V76" s="104">
        <f t="shared" si="0"/>
        <v>0</v>
      </c>
      <c r="W76" s="104">
        <f t="shared" si="1"/>
        <v>0</v>
      </c>
      <c r="X76" s="102"/>
      <c r="Y76" s="101"/>
      <c r="Z76" s="101"/>
      <c r="AA76" s="101"/>
      <c r="AB76" s="101"/>
    </row>
    <row r="77" spans="1:28" x14ac:dyDescent="0.45">
      <c r="A77" s="21">
        <v>68</v>
      </c>
      <c r="B77" s="99"/>
      <c r="C77" s="96"/>
      <c r="D77" s="96"/>
      <c r="E77" s="97"/>
      <c r="F77" s="98"/>
      <c r="G77" s="98"/>
      <c r="H77" s="98"/>
      <c r="I77" s="98"/>
      <c r="J77" s="98"/>
      <c r="K77" s="99"/>
      <c r="L77" s="102"/>
      <c r="M77" s="103">
        <f>IF(ISBLANK(H77),0,VLOOKUP(H77,Справочник!$A$4:$C$11,2,0))</f>
        <v>0</v>
      </c>
      <c r="N77" s="103">
        <f>IF(ISBLANK(I77),0,VLOOKUP(I77,Справочник!$A$4:$C$11,2,0))</f>
        <v>0</v>
      </c>
      <c r="O77" s="103">
        <f>IF(ISBLANK(F77),0,VLOOKUP(F77,Справочник!$A$4:$C$11,2,0))</f>
        <v>0</v>
      </c>
      <c r="P77" s="103">
        <f>IF(ISBLANK(G77),0,VLOOKUP(G77,Справочник!$A$1:$C$11,2,0))</f>
        <v>0</v>
      </c>
      <c r="Q77" s="103">
        <f>IF(ISBLANK(H77),0,VLOOKUP(H77,Справочник!$A$4:$C$11,3,0))</f>
        <v>0</v>
      </c>
      <c r="R77" s="103">
        <f>IF(ISBLANK(I77),0,VLOOKUP(I77,Справочник!$A$4:$C$11,3,0))</f>
        <v>0</v>
      </c>
      <c r="S77" s="103">
        <f>IF(ISBLANK(F77),0,VLOOKUP(F77,Справочник!$A$4:$C$11,3,0))</f>
        <v>0</v>
      </c>
      <c r="T77" s="103">
        <f>IF(ISBLANK(G77),0,VLOOKUP(G77,Справочник!$A$4:$C$11,3,0))</f>
        <v>0</v>
      </c>
      <c r="U77" s="103">
        <f>IF(ISBLANK(J77),0,VLOOKUP(J77,Справочник!$E$4:$F$7,2,0))</f>
        <v>0</v>
      </c>
      <c r="V77" s="104">
        <f t="shared" si="0"/>
        <v>0</v>
      </c>
      <c r="W77" s="104">
        <f t="shared" si="1"/>
        <v>0</v>
      </c>
      <c r="X77" s="102"/>
      <c r="Y77" s="101"/>
      <c r="Z77" s="101"/>
      <c r="AA77" s="101"/>
      <c r="AB77" s="101"/>
    </row>
    <row r="78" spans="1:28" x14ac:dyDescent="0.45">
      <c r="A78" s="22">
        <v>69</v>
      </c>
      <c r="B78" s="99"/>
      <c r="C78" s="96"/>
      <c r="D78" s="96"/>
      <c r="E78" s="97"/>
      <c r="F78" s="98"/>
      <c r="G78" s="98"/>
      <c r="H78" s="98"/>
      <c r="I78" s="98"/>
      <c r="J78" s="98"/>
      <c r="K78" s="99"/>
      <c r="L78" s="102"/>
      <c r="M78" s="103">
        <f>IF(ISBLANK(H78),0,VLOOKUP(H78,Справочник!$A$4:$C$11,2,0))</f>
        <v>0</v>
      </c>
      <c r="N78" s="103">
        <f>IF(ISBLANK(I78),0,VLOOKUP(I78,Справочник!$A$4:$C$11,2,0))</f>
        <v>0</v>
      </c>
      <c r="O78" s="103">
        <f>IF(ISBLANK(F78),0,VLOOKUP(F78,Справочник!$A$4:$C$11,2,0))</f>
        <v>0</v>
      </c>
      <c r="P78" s="103">
        <f>IF(ISBLANK(G78),0,VLOOKUP(G78,Справочник!$A$1:$C$11,2,0))</f>
        <v>0</v>
      </c>
      <c r="Q78" s="103">
        <f>IF(ISBLANK(H78),0,VLOOKUP(H78,Справочник!$A$4:$C$11,3,0))</f>
        <v>0</v>
      </c>
      <c r="R78" s="103">
        <f>IF(ISBLANK(I78),0,VLOOKUP(I78,Справочник!$A$4:$C$11,3,0))</f>
        <v>0</v>
      </c>
      <c r="S78" s="103">
        <f>IF(ISBLANK(F78),0,VLOOKUP(F78,Справочник!$A$4:$C$11,3,0))</f>
        <v>0</v>
      </c>
      <c r="T78" s="103">
        <f>IF(ISBLANK(G78),0,VLOOKUP(G78,Справочник!$A$4:$C$11,3,0))</f>
        <v>0</v>
      </c>
      <c r="U78" s="103">
        <f>IF(ISBLANK(J78),0,VLOOKUP(J78,Справочник!$E$4:$F$7,2,0))</f>
        <v>0</v>
      </c>
      <c r="V78" s="104">
        <f t="shared" si="0"/>
        <v>0</v>
      </c>
      <c r="W78" s="104">
        <f t="shared" si="1"/>
        <v>0</v>
      </c>
      <c r="X78" s="102"/>
      <c r="Y78" s="101"/>
      <c r="Z78" s="101"/>
      <c r="AA78" s="101"/>
      <c r="AB78" s="101"/>
    </row>
    <row r="79" spans="1:28" x14ac:dyDescent="0.45">
      <c r="A79" s="21">
        <v>70</v>
      </c>
      <c r="B79" s="99"/>
      <c r="C79" s="96"/>
      <c r="D79" s="96"/>
      <c r="E79" s="97"/>
      <c r="F79" s="98"/>
      <c r="G79" s="98"/>
      <c r="H79" s="98"/>
      <c r="I79" s="98"/>
      <c r="J79" s="98"/>
      <c r="K79" s="99"/>
      <c r="L79" s="102"/>
      <c r="M79" s="103">
        <f>IF(ISBLANK(H79),0,VLOOKUP(H79,Справочник!$A$4:$C$11,2,0))</f>
        <v>0</v>
      </c>
      <c r="N79" s="103">
        <f>IF(ISBLANK(I79),0,VLOOKUP(I79,Справочник!$A$4:$C$11,2,0))</f>
        <v>0</v>
      </c>
      <c r="O79" s="103">
        <f>IF(ISBLANK(F79),0,VLOOKUP(F79,Справочник!$A$4:$C$11,2,0))</f>
        <v>0</v>
      </c>
      <c r="P79" s="103">
        <f>IF(ISBLANK(G79),0,VLOOKUP(G79,Справочник!$A$1:$C$11,2,0))</f>
        <v>0</v>
      </c>
      <c r="Q79" s="103">
        <f>IF(ISBLANK(H79),0,VLOOKUP(H79,Справочник!$A$4:$C$11,3,0))</f>
        <v>0</v>
      </c>
      <c r="R79" s="103">
        <f>IF(ISBLANK(I79),0,VLOOKUP(I79,Справочник!$A$4:$C$11,3,0))</f>
        <v>0</v>
      </c>
      <c r="S79" s="103">
        <f>IF(ISBLANK(F79),0,VLOOKUP(F79,Справочник!$A$4:$C$11,3,0))</f>
        <v>0</v>
      </c>
      <c r="T79" s="103">
        <f>IF(ISBLANK(G79),0,VLOOKUP(G79,Справочник!$A$4:$C$11,3,0))</f>
        <v>0</v>
      </c>
      <c r="U79" s="103">
        <f>IF(ISBLANK(J79),0,VLOOKUP(J79,Справочник!$E$4:$F$7,2,0))</f>
        <v>0</v>
      </c>
      <c r="V79" s="104">
        <f t="shared" si="0"/>
        <v>0</v>
      </c>
      <c r="W79" s="104">
        <f t="shared" si="1"/>
        <v>0</v>
      </c>
      <c r="X79" s="102"/>
      <c r="Y79" s="101"/>
      <c r="Z79" s="101"/>
      <c r="AA79" s="101"/>
      <c r="AB79" s="101"/>
    </row>
    <row r="80" spans="1:28" x14ac:dyDescent="0.45">
      <c r="A80" s="21">
        <v>71</v>
      </c>
      <c r="B80" s="99"/>
      <c r="C80" s="96"/>
      <c r="D80" s="96"/>
      <c r="E80" s="97"/>
      <c r="F80" s="98"/>
      <c r="G80" s="98"/>
      <c r="H80" s="98"/>
      <c r="I80" s="98"/>
      <c r="J80" s="98"/>
      <c r="K80" s="99"/>
      <c r="L80" s="102"/>
      <c r="M80" s="103">
        <f>IF(ISBLANK(H80),0,VLOOKUP(H80,Справочник!$A$4:$C$11,2,0))</f>
        <v>0</v>
      </c>
      <c r="N80" s="103">
        <f>IF(ISBLANK(I80),0,VLOOKUP(I80,Справочник!$A$4:$C$11,2,0))</f>
        <v>0</v>
      </c>
      <c r="O80" s="103">
        <f>IF(ISBLANK(F80),0,VLOOKUP(F80,Справочник!$A$4:$C$11,2,0))</f>
        <v>0</v>
      </c>
      <c r="P80" s="103">
        <f>IF(ISBLANK(G80),0,VLOOKUP(G80,Справочник!$A$1:$C$11,2,0))</f>
        <v>0</v>
      </c>
      <c r="Q80" s="103">
        <f>IF(ISBLANK(H80),0,VLOOKUP(H80,Справочник!$A$4:$C$11,3,0))</f>
        <v>0</v>
      </c>
      <c r="R80" s="103">
        <f>IF(ISBLANK(I80),0,VLOOKUP(I80,Справочник!$A$4:$C$11,3,0))</f>
        <v>0</v>
      </c>
      <c r="S80" s="103">
        <f>IF(ISBLANK(F80),0,VLOOKUP(F80,Справочник!$A$4:$C$11,3,0))</f>
        <v>0</v>
      </c>
      <c r="T80" s="103">
        <f>IF(ISBLANK(G80),0,VLOOKUP(G80,Справочник!$A$4:$C$11,3,0))</f>
        <v>0</v>
      </c>
      <c r="U80" s="103">
        <f>IF(ISBLANK(J80),0,VLOOKUP(J80,Справочник!$E$4:$F$7,2,0))</f>
        <v>0</v>
      </c>
      <c r="V80" s="104">
        <f t="shared" si="0"/>
        <v>0</v>
      </c>
      <c r="W80" s="104">
        <f t="shared" si="1"/>
        <v>0</v>
      </c>
      <c r="X80" s="102"/>
      <c r="Y80" s="101"/>
      <c r="Z80" s="101"/>
      <c r="AA80" s="101"/>
      <c r="AB80" s="101"/>
    </row>
    <row r="81" spans="1:28" x14ac:dyDescent="0.45">
      <c r="A81" s="22">
        <v>72</v>
      </c>
      <c r="B81" s="99"/>
      <c r="C81" s="96"/>
      <c r="D81" s="96"/>
      <c r="E81" s="97"/>
      <c r="F81" s="98"/>
      <c r="G81" s="98"/>
      <c r="H81" s="98"/>
      <c r="I81" s="98"/>
      <c r="J81" s="98"/>
      <c r="K81" s="99"/>
      <c r="L81" s="102"/>
      <c r="M81" s="103">
        <f>IF(ISBLANK(H81),0,VLOOKUP(H81,Справочник!$A$4:$C$11,2,0))</f>
        <v>0</v>
      </c>
      <c r="N81" s="103">
        <f>IF(ISBLANK(I81),0,VLOOKUP(I81,Справочник!$A$4:$C$11,2,0))</f>
        <v>0</v>
      </c>
      <c r="O81" s="103">
        <f>IF(ISBLANK(F81),0,VLOOKUP(F81,Справочник!$A$4:$C$11,2,0))</f>
        <v>0</v>
      </c>
      <c r="P81" s="103">
        <f>IF(ISBLANK(G81),0,VLOOKUP(G81,Справочник!$A$1:$C$11,2,0))</f>
        <v>0</v>
      </c>
      <c r="Q81" s="103">
        <f>IF(ISBLANK(H81),0,VLOOKUP(H81,Справочник!$A$4:$C$11,3,0))</f>
        <v>0</v>
      </c>
      <c r="R81" s="103">
        <f>IF(ISBLANK(I81),0,VLOOKUP(I81,Справочник!$A$4:$C$11,3,0))</f>
        <v>0</v>
      </c>
      <c r="S81" s="103">
        <f>IF(ISBLANK(F81),0,VLOOKUP(F81,Справочник!$A$4:$C$11,3,0))</f>
        <v>0</v>
      </c>
      <c r="T81" s="103">
        <f>IF(ISBLANK(G81),0,VLOOKUP(G81,Справочник!$A$4:$C$11,3,0))</f>
        <v>0</v>
      </c>
      <c r="U81" s="103">
        <f>IF(ISBLANK(J81),0,VLOOKUP(J81,Справочник!$E$4:$F$7,2,0))</f>
        <v>0</v>
      </c>
      <c r="V81" s="104">
        <f t="shared" si="0"/>
        <v>0</v>
      </c>
      <c r="W81" s="104">
        <f t="shared" si="1"/>
        <v>0</v>
      </c>
      <c r="X81" s="102"/>
      <c r="Y81" s="101"/>
      <c r="Z81" s="101"/>
      <c r="AA81" s="101"/>
      <c r="AB81" s="101"/>
    </row>
    <row r="82" spans="1:28" x14ac:dyDescent="0.45">
      <c r="A82" s="21">
        <v>73</v>
      </c>
      <c r="B82" s="99"/>
      <c r="C82" s="96"/>
      <c r="D82" s="96"/>
      <c r="E82" s="97"/>
      <c r="F82" s="98"/>
      <c r="G82" s="98"/>
      <c r="H82" s="98"/>
      <c r="I82" s="98"/>
      <c r="J82" s="98"/>
      <c r="K82" s="99"/>
      <c r="L82" s="102"/>
      <c r="M82" s="103">
        <f>IF(ISBLANK(H82),0,VLOOKUP(H82,Справочник!$A$4:$C$11,2,0))</f>
        <v>0</v>
      </c>
      <c r="N82" s="103">
        <f>IF(ISBLANK(I82),0,VLOOKUP(I82,Справочник!$A$4:$C$11,2,0))</f>
        <v>0</v>
      </c>
      <c r="O82" s="103">
        <f>IF(ISBLANK(F82),0,VLOOKUP(F82,Справочник!$A$4:$C$11,2,0))</f>
        <v>0</v>
      </c>
      <c r="P82" s="103">
        <f>IF(ISBLANK(G82),0,VLOOKUP(G82,Справочник!$A$1:$C$11,2,0))</f>
        <v>0</v>
      </c>
      <c r="Q82" s="103">
        <f>IF(ISBLANK(H82),0,VLOOKUP(H82,Справочник!$A$4:$C$11,3,0))</f>
        <v>0</v>
      </c>
      <c r="R82" s="103">
        <f>IF(ISBLANK(I82),0,VLOOKUP(I82,Справочник!$A$4:$C$11,3,0))</f>
        <v>0</v>
      </c>
      <c r="S82" s="103">
        <f>IF(ISBLANK(F82),0,VLOOKUP(F82,Справочник!$A$4:$C$11,3,0))</f>
        <v>0</v>
      </c>
      <c r="T82" s="103">
        <f>IF(ISBLANK(G82),0,VLOOKUP(G82,Справочник!$A$4:$C$11,3,0))</f>
        <v>0</v>
      </c>
      <c r="U82" s="103">
        <f>IF(ISBLANK(J82),0,VLOOKUP(J82,Справочник!$E$4:$F$7,2,0))</f>
        <v>0</v>
      </c>
      <c r="V82" s="104">
        <f t="shared" si="0"/>
        <v>0</v>
      </c>
      <c r="W82" s="104">
        <f t="shared" si="1"/>
        <v>0</v>
      </c>
      <c r="X82" s="102"/>
      <c r="Y82" s="101"/>
      <c r="Z82" s="101"/>
      <c r="AA82" s="101"/>
      <c r="AB82" s="101"/>
    </row>
    <row r="83" spans="1:28" x14ac:dyDescent="0.45">
      <c r="A83" s="21">
        <v>74</v>
      </c>
      <c r="B83" s="99"/>
      <c r="C83" s="96"/>
      <c r="D83" s="96"/>
      <c r="E83" s="97"/>
      <c r="F83" s="98"/>
      <c r="G83" s="98"/>
      <c r="H83" s="98"/>
      <c r="I83" s="98"/>
      <c r="J83" s="98"/>
      <c r="K83" s="99"/>
      <c r="L83" s="102"/>
      <c r="M83" s="103">
        <f>IF(ISBLANK(H83),0,VLOOKUP(H83,Справочник!$A$4:$C$11,2,0))</f>
        <v>0</v>
      </c>
      <c r="N83" s="103">
        <f>IF(ISBLANK(I83),0,VLOOKUP(I83,Справочник!$A$4:$C$11,2,0))</f>
        <v>0</v>
      </c>
      <c r="O83" s="103">
        <f>IF(ISBLANK(F83),0,VLOOKUP(F83,Справочник!$A$4:$C$11,2,0))</f>
        <v>0</v>
      </c>
      <c r="P83" s="103">
        <f>IF(ISBLANK(G83),0,VLOOKUP(G83,Справочник!$A$1:$C$11,2,0))</f>
        <v>0</v>
      </c>
      <c r="Q83" s="103">
        <f>IF(ISBLANK(H83),0,VLOOKUP(H83,Справочник!$A$4:$C$11,3,0))</f>
        <v>0</v>
      </c>
      <c r="R83" s="103">
        <f>IF(ISBLANK(I83),0,VLOOKUP(I83,Справочник!$A$4:$C$11,3,0))</f>
        <v>0</v>
      </c>
      <c r="S83" s="103">
        <f>IF(ISBLANK(F83),0,VLOOKUP(F83,Справочник!$A$4:$C$11,3,0))</f>
        <v>0</v>
      </c>
      <c r="T83" s="103">
        <f>IF(ISBLANK(G83),0,VLOOKUP(G83,Справочник!$A$4:$C$11,3,0))</f>
        <v>0</v>
      </c>
      <c r="U83" s="103">
        <f>IF(ISBLANK(J83),0,VLOOKUP(J83,Справочник!$E$4:$F$7,2,0))</f>
        <v>0</v>
      </c>
      <c r="V83" s="104">
        <f t="shared" si="0"/>
        <v>0</v>
      </c>
      <c r="W83" s="104">
        <f t="shared" si="1"/>
        <v>0</v>
      </c>
      <c r="X83" s="102"/>
      <c r="Y83" s="101"/>
      <c r="Z83" s="101"/>
      <c r="AA83" s="101"/>
      <c r="AB83" s="101"/>
    </row>
    <row r="84" spans="1:28" x14ac:dyDescent="0.45">
      <c r="A84" s="22">
        <v>75</v>
      </c>
      <c r="B84" s="99"/>
      <c r="C84" s="96"/>
      <c r="D84" s="96"/>
      <c r="E84" s="97"/>
      <c r="F84" s="98"/>
      <c r="G84" s="98"/>
      <c r="H84" s="98"/>
      <c r="I84" s="98"/>
      <c r="J84" s="98"/>
      <c r="K84" s="99"/>
      <c r="L84" s="102"/>
      <c r="M84" s="103">
        <f>IF(ISBLANK(H84),0,VLOOKUP(H84,Справочник!$A$4:$C$11,2,0))</f>
        <v>0</v>
      </c>
      <c r="N84" s="103">
        <f>IF(ISBLANK(I84),0,VLOOKUP(I84,Справочник!$A$4:$C$11,2,0))</f>
        <v>0</v>
      </c>
      <c r="O84" s="103">
        <f>IF(ISBLANK(F84),0,VLOOKUP(F84,Справочник!$A$4:$C$11,2,0))</f>
        <v>0</v>
      </c>
      <c r="P84" s="103">
        <f>IF(ISBLANK(G84),0,VLOOKUP(G84,Справочник!$A$1:$C$11,2,0))</f>
        <v>0</v>
      </c>
      <c r="Q84" s="103">
        <f>IF(ISBLANK(H84),0,VLOOKUP(H84,Справочник!$A$4:$C$11,3,0))</f>
        <v>0</v>
      </c>
      <c r="R84" s="103">
        <f>IF(ISBLANK(I84),0,VLOOKUP(I84,Справочник!$A$4:$C$11,3,0))</f>
        <v>0</v>
      </c>
      <c r="S84" s="103">
        <f>IF(ISBLANK(F84),0,VLOOKUP(F84,Справочник!$A$4:$C$11,3,0))</f>
        <v>0</v>
      </c>
      <c r="T84" s="103">
        <f>IF(ISBLANK(G84),0,VLOOKUP(G84,Справочник!$A$4:$C$11,3,0))</f>
        <v>0</v>
      </c>
      <c r="U84" s="103">
        <f>IF(ISBLANK(J84),0,VLOOKUP(J84,Справочник!$E$4:$F$7,2,0))</f>
        <v>0</v>
      </c>
      <c r="V84" s="104">
        <f t="shared" si="0"/>
        <v>0</v>
      </c>
      <c r="W84" s="104">
        <f t="shared" si="1"/>
        <v>0</v>
      </c>
      <c r="X84" s="102"/>
      <c r="Y84" s="101"/>
      <c r="Z84" s="101"/>
      <c r="AA84" s="101"/>
      <c r="AB84" s="101"/>
    </row>
    <row r="85" spans="1:28" x14ac:dyDescent="0.45">
      <c r="A85" s="21">
        <v>76</v>
      </c>
      <c r="B85" s="99"/>
      <c r="C85" s="96"/>
      <c r="D85" s="96"/>
      <c r="E85" s="97"/>
      <c r="F85" s="98"/>
      <c r="G85" s="98"/>
      <c r="H85" s="98"/>
      <c r="I85" s="98"/>
      <c r="J85" s="98"/>
      <c r="K85" s="99"/>
      <c r="L85" s="102"/>
      <c r="M85" s="103">
        <f>IF(ISBLANK(H85),0,VLOOKUP(H85,Справочник!$A$4:$C$11,2,0))</f>
        <v>0</v>
      </c>
      <c r="N85" s="103">
        <f>IF(ISBLANK(I85),0,VLOOKUP(I85,Справочник!$A$4:$C$11,2,0))</f>
        <v>0</v>
      </c>
      <c r="O85" s="103">
        <f>IF(ISBLANK(F85),0,VLOOKUP(F85,Справочник!$A$4:$C$11,2,0))</f>
        <v>0</v>
      </c>
      <c r="P85" s="103">
        <f>IF(ISBLANK(G85),0,VLOOKUP(G85,Справочник!$A$1:$C$11,2,0))</f>
        <v>0</v>
      </c>
      <c r="Q85" s="103">
        <f>IF(ISBLANK(H85),0,VLOOKUP(H85,Справочник!$A$4:$C$11,3,0))</f>
        <v>0</v>
      </c>
      <c r="R85" s="103">
        <f>IF(ISBLANK(I85),0,VLOOKUP(I85,Справочник!$A$4:$C$11,3,0))</f>
        <v>0</v>
      </c>
      <c r="S85" s="103">
        <f>IF(ISBLANK(F85),0,VLOOKUP(F85,Справочник!$A$4:$C$11,3,0))</f>
        <v>0</v>
      </c>
      <c r="T85" s="103">
        <f>IF(ISBLANK(G85),0,VLOOKUP(G85,Справочник!$A$4:$C$11,3,0))</f>
        <v>0</v>
      </c>
      <c r="U85" s="103">
        <f>IF(ISBLANK(J85),0,VLOOKUP(J85,Справочник!$E$4:$F$7,2,0))</f>
        <v>0</v>
      </c>
      <c r="V85" s="104">
        <f t="shared" si="0"/>
        <v>0</v>
      </c>
      <c r="W85" s="104">
        <f t="shared" si="1"/>
        <v>0</v>
      </c>
      <c r="X85" s="102"/>
      <c r="Y85" s="101"/>
      <c r="Z85" s="101"/>
      <c r="AA85" s="101"/>
      <c r="AB85" s="101"/>
    </row>
    <row r="86" spans="1:28" x14ac:dyDescent="0.45">
      <c r="A86" s="21">
        <v>77</v>
      </c>
      <c r="B86" s="99"/>
      <c r="C86" s="96"/>
      <c r="D86" s="96"/>
      <c r="E86" s="97"/>
      <c r="F86" s="98"/>
      <c r="G86" s="98"/>
      <c r="H86" s="98"/>
      <c r="I86" s="98"/>
      <c r="J86" s="98"/>
      <c r="K86" s="99"/>
      <c r="L86" s="102"/>
      <c r="M86" s="103">
        <f>IF(ISBLANK(H86),0,VLOOKUP(H86,Справочник!$A$4:$C$11,2,0))</f>
        <v>0</v>
      </c>
      <c r="N86" s="103">
        <f>IF(ISBLANK(I86),0,VLOOKUP(I86,Справочник!$A$4:$C$11,2,0))</f>
        <v>0</v>
      </c>
      <c r="O86" s="103">
        <f>IF(ISBLANK(F86),0,VLOOKUP(F86,Справочник!$A$4:$C$11,2,0))</f>
        <v>0</v>
      </c>
      <c r="P86" s="103">
        <f>IF(ISBLANK(G86),0,VLOOKUP(G86,Справочник!$A$1:$C$11,2,0))</f>
        <v>0</v>
      </c>
      <c r="Q86" s="103">
        <f>IF(ISBLANK(H86),0,VLOOKUP(H86,Справочник!$A$4:$C$11,3,0))</f>
        <v>0</v>
      </c>
      <c r="R86" s="103">
        <f>IF(ISBLANK(I86),0,VLOOKUP(I86,Справочник!$A$4:$C$11,3,0))</f>
        <v>0</v>
      </c>
      <c r="S86" s="103">
        <f>IF(ISBLANK(F86),0,VLOOKUP(F86,Справочник!$A$4:$C$11,3,0))</f>
        <v>0</v>
      </c>
      <c r="T86" s="103">
        <f>IF(ISBLANK(G86),0,VLOOKUP(G86,Справочник!$A$4:$C$11,3,0))</f>
        <v>0</v>
      </c>
      <c r="U86" s="103">
        <f>IF(ISBLANK(J86),0,VLOOKUP(J86,Справочник!$E$4:$F$7,2,0))</f>
        <v>0</v>
      </c>
      <c r="V86" s="104">
        <f t="shared" si="0"/>
        <v>0</v>
      </c>
      <c r="W86" s="104">
        <f t="shared" si="1"/>
        <v>0</v>
      </c>
      <c r="X86" s="102"/>
      <c r="Y86" s="101"/>
      <c r="Z86" s="101"/>
      <c r="AA86" s="101"/>
      <c r="AB86" s="101"/>
    </row>
    <row r="87" spans="1:28" x14ac:dyDescent="0.45">
      <c r="A87" s="22">
        <v>78</v>
      </c>
      <c r="B87" s="99"/>
      <c r="C87" s="96"/>
      <c r="D87" s="96"/>
      <c r="E87" s="97"/>
      <c r="F87" s="98"/>
      <c r="G87" s="98"/>
      <c r="H87" s="98"/>
      <c r="I87" s="98"/>
      <c r="J87" s="98"/>
      <c r="K87" s="99"/>
      <c r="L87" s="102"/>
      <c r="M87" s="103">
        <f>IF(ISBLANK(H87),0,VLOOKUP(H87,Справочник!$A$4:$C$11,2,0))</f>
        <v>0</v>
      </c>
      <c r="N87" s="103">
        <f>IF(ISBLANK(I87),0,VLOOKUP(I87,Справочник!$A$4:$C$11,2,0))</f>
        <v>0</v>
      </c>
      <c r="O87" s="103">
        <f>IF(ISBLANK(F87),0,VLOOKUP(F87,Справочник!$A$4:$C$11,2,0))</f>
        <v>0</v>
      </c>
      <c r="P87" s="103">
        <f>IF(ISBLANK(G87),0,VLOOKUP(G87,Справочник!$A$1:$C$11,2,0))</f>
        <v>0</v>
      </c>
      <c r="Q87" s="103">
        <f>IF(ISBLANK(H87),0,VLOOKUP(H87,Справочник!$A$4:$C$11,3,0))</f>
        <v>0</v>
      </c>
      <c r="R87" s="103">
        <f>IF(ISBLANK(I87),0,VLOOKUP(I87,Справочник!$A$4:$C$11,3,0))</f>
        <v>0</v>
      </c>
      <c r="S87" s="103">
        <f>IF(ISBLANK(F87),0,VLOOKUP(F87,Справочник!$A$4:$C$11,3,0))</f>
        <v>0</v>
      </c>
      <c r="T87" s="103">
        <f>IF(ISBLANK(G87),0,VLOOKUP(G87,Справочник!$A$4:$C$11,3,0))</f>
        <v>0</v>
      </c>
      <c r="U87" s="103">
        <f>IF(ISBLANK(J87),0,VLOOKUP(J87,Справочник!$E$4:$F$7,2,0))</f>
        <v>0</v>
      </c>
      <c r="V87" s="104">
        <f t="shared" si="0"/>
        <v>0</v>
      </c>
      <c r="W87" s="104">
        <f t="shared" si="1"/>
        <v>0</v>
      </c>
      <c r="X87" s="102"/>
      <c r="Y87" s="101"/>
      <c r="Z87" s="101"/>
      <c r="AA87" s="101"/>
      <c r="AB87" s="101"/>
    </row>
    <row r="88" spans="1:28" x14ac:dyDescent="0.45">
      <c r="A88" s="21">
        <v>79</v>
      </c>
      <c r="B88" s="99"/>
      <c r="C88" s="96"/>
      <c r="D88" s="96"/>
      <c r="E88" s="97"/>
      <c r="F88" s="98"/>
      <c r="G88" s="98"/>
      <c r="H88" s="98"/>
      <c r="I88" s="98"/>
      <c r="J88" s="98"/>
      <c r="K88" s="99"/>
      <c r="L88" s="102"/>
      <c r="M88" s="103">
        <f>IF(ISBLANK(H88),0,VLOOKUP(H88,Справочник!$A$4:$C$11,2,0))</f>
        <v>0</v>
      </c>
      <c r="N88" s="103">
        <f>IF(ISBLANK(I88),0,VLOOKUP(I88,Справочник!$A$4:$C$11,2,0))</f>
        <v>0</v>
      </c>
      <c r="O88" s="103">
        <f>IF(ISBLANK(F88),0,VLOOKUP(F88,Справочник!$A$4:$C$11,2,0))</f>
        <v>0</v>
      </c>
      <c r="P88" s="103">
        <f>IF(ISBLANK(G88),0,VLOOKUP(G88,Справочник!$A$1:$C$11,2,0))</f>
        <v>0</v>
      </c>
      <c r="Q88" s="103">
        <f>IF(ISBLANK(H88),0,VLOOKUP(H88,Справочник!$A$4:$C$11,3,0))</f>
        <v>0</v>
      </c>
      <c r="R88" s="103">
        <f>IF(ISBLANK(I88),0,VLOOKUP(I88,Справочник!$A$4:$C$11,3,0))</f>
        <v>0</v>
      </c>
      <c r="S88" s="103">
        <f>IF(ISBLANK(F88),0,VLOOKUP(F88,Справочник!$A$4:$C$11,3,0))</f>
        <v>0</v>
      </c>
      <c r="T88" s="103">
        <f>IF(ISBLANK(G88),0,VLOOKUP(G88,Справочник!$A$4:$C$11,3,0))</f>
        <v>0</v>
      </c>
      <c r="U88" s="103">
        <f>IF(ISBLANK(J88),0,VLOOKUP(J88,Справочник!$E$4:$F$7,2,0))</f>
        <v>0</v>
      </c>
      <c r="V88" s="104">
        <f t="shared" si="0"/>
        <v>0</v>
      </c>
      <c r="W88" s="104">
        <f t="shared" si="1"/>
        <v>0</v>
      </c>
      <c r="X88" s="102"/>
      <c r="Y88" s="101"/>
      <c r="Z88" s="101"/>
      <c r="AA88" s="101"/>
      <c r="AB88" s="101"/>
    </row>
    <row r="89" spans="1:28" x14ac:dyDescent="0.45">
      <c r="A89" s="21">
        <v>80</v>
      </c>
      <c r="B89" s="99"/>
      <c r="C89" s="96"/>
      <c r="D89" s="96"/>
      <c r="E89" s="97"/>
      <c r="F89" s="98"/>
      <c r="G89" s="98"/>
      <c r="H89" s="98"/>
      <c r="I89" s="98"/>
      <c r="J89" s="98"/>
      <c r="K89" s="99"/>
      <c r="L89" s="102"/>
      <c r="M89" s="103">
        <f>IF(ISBLANK(H89),0,VLOOKUP(H89,Справочник!$A$4:$C$11,2,0))</f>
        <v>0</v>
      </c>
      <c r="N89" s="103">
        <f>IF(ISBLANK(I89),0,VLOOKUP(I89,Справочник!$A$4:$C$11,2,0))</f>
        <v>0</v>
      </c>
      <c r="O89" s="103">
        <f>IF(ISBLANK(F89),0,VLOOKUP(F89,Справочник!$A$4:$C$11,2,0))</f>
        <v>0</v>
      </c>
      <c r="P89" s="103">
        <f>IF(ISBLANK(G89),0,VLOOKUP(G89,Справочник!$A$1:$C$11,2,0))</f>
        <v>0</v>
      </c>
      <c r="Q89" s="103">
        <f>IF(ISBLANK(H89),0,VLOOKUP(H89,Справочник!$A$4:$C$11,3,0))</f>
        <v>0</v>
      </c>
      <c r="R89" s="103">
        <f>IF(ISBLANK(I89),0,VLOOKUP(I89,Справочник!$A$4:$C$11,3,0))</f>
        <v>0</v>
      </c>
      <c r="S89" s="103">
        <f>IF(ISBLANK(F89),0,VLOOKUP(F89,Справочник!$A$4:$C$11,3,0))</f>
        <v>0</v>
      </c>
      <c r="T89" s="103">
        <f>IF(ISBLANK(G89),0,VLOOKUP(G89,Справочник!$A$4:$C$11,3,0))</f>
        <v>0</v>
      </c>
      <c r="U89" s="103">
        <f>IF(ISBLANK(J89),0,VLOOKUP(J89,Справочник!$E$4:$F$7,2,0))</f>
        <v>0</v>
      </c>
      <c r="V89" s="104">
        <f t="shared" si="0"/>
        <v>0</v>
      </c>
      <c r="W89" s="104">
        <f t="shared" si="1"/>
        <v>0</v>
      </c>
      <c r="X89" s="102"/>
      <c r="Y89" s="101"/>
      <c r="Z89" s="101"/>
      <c r="AA89" s="101"/>
      <c r="AB89" s="101"/>
    </row>
    <row r="90" spans="1:28" x14ac:dyDescent="0.45">
      <c r="A90" s="22">
        <v>81</v>
      </c>
      <c r="B90" s="99"/>
      <c r="C90" s="96"/>
      <c r="D90" s="96"/>
      <c r="E90" s="97"/>
      <c r="F90" s="98"/>
      <c r="G90" s="98"/>
      <c r="H90" s="98"/>
      <c r="I90" s="98"/>
      <c r="J90" s="98"/>
      <c r="K90" s="99"/>
      <c r="L90" s="102"/>
      <c r="M90" s="103">
        <f>IF(ISBLANK(H90),0,VLOOKUP(H90,Справочник!$A$4:$C$11,2,0))</f>
        <v>0</v>
      </c>
      <c r="N90" s="103">
        <f>IF(ISBLANK(I90),0,VLOOKUP(I90,Справочник!$A$4:$C$11,2,0))</f>
        <v>0</v>
      </c>
      <c r="O90" s="103">
        <f>IF(ISBLANK(F90),0,VLOOKUP(F90,Справочник!$A$4:$C$11,2,0))</f>
        <v>0</v>
      </c>
      <c r="P90" s="103">
        <f>IF(ISBLANK(G90),0,VLOOKUP(G90,Справочник!$A$1:$C$11,2,0))</f>
        <v>0</v>
      </c>
      <c r="Q90" s="103">
        <f>IF(ISBLANK(H90),0,VLOOKUP(H90,Справочник!$A$4:$C$11,3,0))</f>
        <v>0</v>
      </c>
      <c r="R90" s="103">
        <f>IF(ISBLANK(I90),0,VLOOKUP(I90,Справочник!$A$4:$C$11,3,0))</f>
        <v>0</v>
      </c>
      <c r="S90" s="103">
        <f>IF(ISBLANK(F90),0,VLOOKUP(F90,Справочник!$A$4:$C$11,3,0))</f>
        <v>0</v>
      </c>
      <c r="T90" s="103">
        <f>IF(ISBLANK(G90),0,VLOOKUP(G90,Справочник!$A$4:$C$11,3,0))</f>
        <v>0</v>
      </c>
      <c r="U90" s="103">
        <f>IF(ISBLANK(J90),0,VLOOKUP(J90,Справочник!$E$4:$F$7,2,0))</f>
        <v>0</v>
      </c>
      <c r="V90" s="104">
        <f t="shared" si="0"/>
        <v>0</v>
      </c>
      <c r="W90" s="104">
        <f t="shared" si="1"/>
        <v>0</v>
      </c>
      <c r="X90" s="102"/>
      <c r="Y90" s="101"/>
      <c r="Z90" s="101"/>
      <c r="AA90" s="101"/>
      <c r="AB90" s="101"/>
    </row>
    <row r="91" spans="1:28" x14ac:dyDescent="0.45">
      <c r="A91" s="21">
        <v>82</v>
      </c>
      <c r="B91" s="99"/>
      <c r="C91" s="96"/>
      <c r="D91" s="96"/>
      <c r="E91" s="97"/>
      <c r="F91" s="98"/>
      <c r="G91" s="98"/>
      <c r="H91" s="98"/>
      <c r="I91" s="98"/>
      <c r="J91" s="98"/>
      <c r="K91" s="99"/>
      <c r="L91" s="102"/>
      <c r="M91" s="103">
        <f>IF(ISBLANK(H91),0,VLOOKUP(H91,Справочник!$A$4:$C$11,2,0))</f>
        <v>0</v>
      </c>
      <c r="N91" s="103">
        <f>IF(ISBLANK(I91),0,VLOOKUP(I91,Справочник!$A$4:$C$11,2,0))</f>
        <v>0</v>
      </c>
      <c r="O91" s="103">
        <f>IF(ISBLANK(F91),0,VLOOKUP(F91,Справочник!$A$4:$C$11,2,0))</f>
        <v>0</v>
      </c>
      <c r="P91" s="103">
        <f>IF(ISBLANK(G91),0,VLOOKUP(G91,Справочник!$A$1:$C$11,2,0))</f>
        <v>0</v>
      </c>
      <c r="Q91" s="103">
        <f>IF(ISBLANK(H91),0,VLOOKUP(H91,Справочник!$A$4:$C$11,3,0))</f>
        <v>0</v>
      </c>
      <c r="R91" s="103">
        <f>IF(ISBLANK(I91),0,VLOOKUP(I91,Справочник!$A$4:$C$11,3,0))</f>
        <v>0</v>
      </c>
      <c r="S91" s="103">
        <f>IF(ISBLANK(F91),0,VLOOKUP(F91,Справочник!$A$4:$C$11,3,0))</f>
        <v>0</v>
      </c>
      <c r="T91" s="103">
        <f>IF(ISBLANK(G91),0,VLOOKUP(G91,Справочник!$A$4:$C$11,3,0))</f>
        <v>0</v>
      </c>
      <c r="U91" s="103">
        <f>IF(ISBLANK(J91),0,VLOOKUP(J91,Справочник!$E$4:$F$7,2,0))</f>
        <v>0</v>
      </c>
      <c r="V91" s="104">
        <f t="shared" si="0"/>
        <v>0</v>
      </c>
      <c r="W91" s="104">
        <f t="shared" si="1"/>
        <v>0</v>
      </c>
      <c r="X91" s="102"/>
      <c r="Y91" s="101"/>
      <c r="Z91" s="101"/>
      <c r="AA91" s="101"/>
      <c r="AB91" s="101"/>
    </row>
    <row r="92" spans="1:28" x14ac:dyDescent="0.45">
      <c r="A92" s="21">
        <v>83</v>
      </c>
      <c r="B92" s="99"/>
      <c r="C92" s="96"/>
      <c r="D92" s="96"/>
      <c r="E92" s="97"/>
      <c r="F92" s="98"/>
      <c r="G92" s="98"/>
      <c r="H92" s="98"/>
      <c r="I92" s="98"/>
      <c r="J92" s="98"/>
      <c r="K92" s="99"/>
      <c r="L92" s="102"/>
      <c r="M92" s="103">
        <f>IF(ISBLANK(H92),0,VLOOKUP(H92,Справочник!$A$4:$C$11,2,0))</f>
        <v>0</v>
      </c>
      <c r="N92" s="103">
        <f>IF(ISBLANK(I92),0,VLOOKUP(I92,Справочник!$A$4:$C$11,2,0))</f>
        <v>0</v>
      </c>
      <c r="O92" s="103">
        <f>IF(ISBLANK(F92),0,VLOOKUP(F92,Справочник!$A$4:$C$11,2,0))</f>
        <v>0</v>
      </c>
      <c r="P92" s="103">
        <f>IF(ISBLANK(G92),0,VLOOKUP(G92,Справочник!$A$1:$C$11,2,0))</f>
        <v>0</v>
      </c>
      <c r="Q92" s="103">
        <f>IF(ISBLANK(H92),0,VLOOKUP(H92,Справочник!$A$4:$C$11,3,0))</f>
        <v>0</v>
      </c>
      <c r="R92" s="103">
        <f>IF(ISBLANK(I92),0,VLOOKUP(I92,Справочник!$A$4:$C$11,3,0))</f>
        <v>0</v>
      </c>
      <c r="S92" s="103">
        <f>IF(ISBLANK(F92),0,VLOOKUP(F92,Справочник!$A$4:$C$11,3,0))</f>
        <v>0</v>
      </c>
      <c r="T92" s="103">
        <f>IF(ISBLANK(G92),0,VLOOKUP(G92,Справочник!$A$4:$C$11,3,0))</f>
        <v>0</v>
      </c>
      <c r="U92" s="103">
        <f>IF(ISBLANK(J92),0,VLOOKUP(J92,Справочник!$E$4:$F$7,2,0))</f>
        <v>0</v>
      </c>
      <c r="V92" s="104">
        <f t="shared" si="0"/>
        <v>0</v>
      </c>
      <c r="W92" s="104">
        <f t="shared" si="1"/>
        <v>0</v>
      </c>
      <c r="X92" s="102"/>
      <c r="Y92" s="101"/>
      <c r="Z92" s="101"/>
      <c r="AA92" s="101"/>
      <c r="AB92" s="101"/>
    </row>
    <row r="93" spans="1:28" x14ac:dyDescent="0.45">
      <c r="A93" s="22">
        <v>84</v>
      </c>
      <c r="B93" s="99"/>
      <c r="C93" s="96"/>
      <c r="D93" s="96"/>
      <c r="E93" s="97"/>
      <c r="F93" s="98"/>
      <c r="G93" s="98"/>
      <c r="H93" s="98"/>
      <c r="I93" s="98"/>
      <c r="J93" s="98"/>
      <c r="K93" s="99"/>
      <c r="L93" s="102"/>
      <c r="M93" s="103">
        <f>IF(ISBLANK(H93),0,VLOOKUP(H93,Справочник!$A$4:$C$11,2,0))</f>
        <v>0</v>
      </c>
      <c r="N93" s="103">
        <f>IF(ISBLANK(I93),0,VLOOKUP(I93,Справочник!$A$4:$C$11,2,0))</f>
        <v>0</v>
      </c>
      <c r="O93" s="103">
        <f>IF(ISBLANK(F93),0,VLOOKUP(F93,Справочник!$A$4:$C$11,2,0))</f>
        <v>0</v>
      </c>
      <c r="P93" s="103">
        <f>IF(ISBLANK(G93),0,VLOOKUP(G93,Справочник!$A$1:$C$11,2,0))</f>
        <v>0</v>
      </c>
      <c r="Q93" s="103">
        <f>IF(ISBLANK(H93),0,VLOOKUP(H93,Справочник!$A$4:$C$11,3,0))</f>
        <v>0</v>
      </c>
      <c r="R93" s="103">
        <f>IF(ISBLANK(I93),0,VLOOKUP(I93,Справочник!$A$4:$C$11,3,0))</f>
        <v>0</v>
      </c>
      <c r="S93" s="103">
        <f>IF(ISBLANK(F93),0,VLOOKUP(F93,Справочник!$A$4:$C$11,3,0))</f>
        <v>0</v>
      </c>
      <c r="T93" s="103">
        <f>IF(ISBLANK(G93),0,VLOOKUP(G93,Справочник!$A$4:$C$11,3,0))</f>
        <v>0</v>
      </c>
      <c r="U93" s="103">
        <f>IF(ISBLANK(J93),0,VLOOKUP(J93,Справочник!$E$4:$F$7,2,0))</f>
        <v>0</v>
      </c>
      <c r="V93" s="104">
        <f t="shared" si="0"/>
        <v>0</v>
      </c>
      <c r="W93" s="104">
        <f t="shared" si="1"/>
        <v>0</v>
      </c>
      <c r="X93" s="102"/>
      <c r="Y93" s="101"/>
      <c r="Z93" s="101"/>
      <c r="AA93" s="101"/>
      <c r="AB93" s="101"/>
    </row>
    <row r="94" spans="1:28" x14ac:dyDescent="0.45">
      <c r="A94" s="21">
        <v>85</v>
      </c>
      <c r="B94" s="99"/>
      <c r="C94" s="96"/>
      <c r="D94" s="96"/>
      <c r="E94" s="97"/>
      <c r="F94" s="98"/>
      <c r="G94" s="98"/>
      <c r="H94" s="98"/>
      <c r="I94" s="98"/>
      <c r="J94" s="98"/>
      <c r="K94" s="99"/>
      <c r="L94" s="102"/>
      <c r="M94" s="103">
        <f>IF(ISBLANK(H94),0,VLOOKUP(H94,Справочник!$A$4:$C$11,2,0))</f>
        <v>0</v>
      </c>
      <c r="N94" s="103">
        <f>IF(ISBLANK(I94),0,VLOOKUP(I94,Справочник!$A$4:$C$11,2,0))</f>
        <v>0</v>
      </c>
      <c r="O94" s="103">
        <f>IF(ISBLANK(F94),0,VLOOKUP(F94,Справочник!$A$4:$C$11,2,0))</f>
        <v>0</v>
      </c>
      <c r="P94" s="103">
        <f>IF(ISBLANK(G94),0,VLOOKUP(G94,Справочник!$A$1:$C$11,2,0))</f>
        <v>0</v>
      </c>
      <c r="Q94" s="103">
        <f>IF(ISBLANK(H94),0,VLOOKUP(H94,Справочник!$A$4:$C$11,3,0))</f>
        <v>0</v>
      </c>
      <c r="R94" s="103">
        <f>IF(ISBLANK(I94),0,VLOOKUP(I94,Справочник!$A$4:$C$11,3,0))</f>
        <v>0</v>
      </c>
      <c r="S94" s="103">
        <f>IF(ISBLANK(F94),0,VLOOKUP(F94,Справочник!$A$4:$C$11,3,0))</f>
        <v>0</v>
      </c>
      <c r="T94" s="103">
        <f>IF(ISBLANK(G94),0,VLOOKUP(G94,Справочник!$A$4:$C$11,3,0))</f>
        <v>0</v>
      </c>
      <c r="U94" s="103">
        <f>IF(ISBLANK(J94),0,VLOOKUP(J94,Справочник!$E$4:$F$7,2,0))</f>
        <v>0</v>
      </c>
      <c r="V94" s="104">
        <f t="shared" si="0"/>
        <v>0</v>
      </c>
      <c r="W94" s="104">
        <f t="shared" si="1"/>
        <v>0</v>
      </c>
      <c r="X94" s="102"/>
      <c r="Y94" s="101"/>
      <c r="Z94" s="101"/>
      <c r="AA94" s="101"/>
      <c r="AB94" s="101"/>
    </row>
    <row r="95" spans="1:28" x14ac:dyDescent="0.45">
      <c r="A95" s="21">
        <v>86</v>
      </c>
      <c r="B95" s="99"/>
      <c r="C95" s="96"/>
      <c r="D95" s="96"/>
      <c r="E95" s="97"/>
      <c r="F95" s="98"/>
      <c r="G95" s="98"/>
      <c r="H95" s="98"/>
      <c r="I95" s="98"/>
      <c r="J95" s="98"/>
      <c r="K95" s="99"/>
      <c r="L95" s="102"/>
      <c r="M95" s="103">
        <f>IF(ISBLANK(H95),0,VLOOKUP(H95,Справочник!$A$4:$C$11,2,0))</f>
        <v>0</v>
      </c>
      <c r="N95" s="103">
        <f>IF(ISBLANK(I95),0,VLOOKUP(I95,Справочник!$A$4:$C$11,2,0))</f>
        <v>0</v>
      </c>
      <c r="O95" s="103">
        <f>IF(ISBLANK(F95),0,VLOOKUP(F95,Справочник!$A$4:$C$11,2,0))</f>
        <v>0</v>
      </c>
      <c r="P95" s="103">
        <f>IF(ISBLANK(G95),0,VLOOKUP(G95,Справочник!$A$1:$C$11,2,0))</f>
        <v>0</v>
      </c>
      <c r="Q95" s="103">
        <f>IF(ISBLANK(H95),0,VLOOKUP(H95,Справочник!$A$4:$C$11,3,0))</f>
        <v>0</v>
      </c>
      <c r="R95" s="103">
        <f>IF(ISBLANK(I95),0,VLOOKUP(I95,Справочник!$A$4:$C$11,3,0))</f>
        <v>0</v>
      </c>
      <c r="S95" s="103">
        <f>IF(ISBLANK(F95),0,VLOOKUP(F95,Справочник!$A$4:$C$11,3,0))</f>
        <v>0</v>
      </c>
      <c r="T95" s="103">
        <f>IF(ISBLANK(G95),0,VLOOKUP(G95,Справочник!$A$4:$C$11,3,0))</f>
        <v>0</v>
      </c>
      <c r="U95" s="103">
        <f>IF(ISBLANK(J95),0,VLOOKUP(J95,Справочник!$E$4:$F$7,2,0))</f>
        <v>0</v>
      </c>
      <c r="V95" s="104">
        <f t="shared" si="0"/>
        <v>0</v>
      </c>
      <c r="W95" s="104">
        <f t="shared" si="1"/>
        <v>0</v>
      </c>
      <c r="X95" s="102"/>
      <c r="Y95" s="101"/>
      <c r="Z95" s="101"/>
      <c r="AA95" s="101"/>
      <c r="AB95" s="101"/>
    </row>
    <row r="96" spans="1:28" x14ac:dyDescent="0.45">
      <c r="A96" s="22">
        <v>87</v>
      </c>
      <c r="B96" s="99"/>
      <c r="C96" s="96"/>
      <c r="D96" s="96"/>
      <c r="E96" s="97"/>
      <c r="F96" s="98"/>
      <c r="G96" s="98"/>
      <c r="H96" s="98"/>
      <c r="I96" s="98"/>
      <c r="J96" s="98"/>
      <c r="K96" s="99"/>
      <c r="L96" s="102"/>
      <c r="M96" s="103">
        <f>IF(ISBLANK(H96),0,VLOOKUP(H96,Справочник!$A$4:$C$11,2,0))</f>
        <v>0</v>
      </c>
      <c r="N96" s="103">
        <f>IF(ISBLANK(I96),0,VLOOKUP(I96,Справочник!$A$4:$C$11,2,0))</f>
        <v>0</v>
      </c>
      <c r="O96" s="103">
        <f>IF(ISBLANK(F96),0,VLOOKUP(F96,Справочник!$A$4:$C$11,2,0))</f>
        <v>0</v>
      </c>
      <c r="P96" s="103">
        <f>IF(ISBLANK(G96),0,VLOOKUP(G96,Справочник!$A$1:$C$11,2,0))</f>
        <v>0</v>
      </c>
      <c r="Q96" s="103">
        <f>IF(ISBLANK(H96),0,VLOOKUP(H96,Справочник!$A$4:$C$11,3,0))</f>
        <v>0</v>
      </c>
      <c r="R96" s="103">
        <f>IF(ISBLANK(I96),0,VLOOKUP(I96,Справочник!$A$4:$C$11,3,0))</f>
        <v>0</v>
      </c>
      <c r="S96" s="103">
        <f>IF(ISBLANK(F96),0,VLOOKUP(F96,Справочник!$A$4:$C$11,3,0))</f>
        <v>0</v>
      </c>
      <c r="T96" s="103">
        <f>IF(ISBLANK(G96),0,VLOOKUP(G96,Справочник!$A$4:$C$11,3,0))</f>
        <v>0</v>
      </c>
      <c r="U96" s="103">
        <f>IF(ISBLANK(J96),0,VLOOKUP(J96,Справочник!$E$4:$F$7,2,0))</f>
        <v>0</v>
      </c>
      <c r="V96" s="104">
        <f t="shared" si="0"/>
        <v>0</v>
      </c>
      <c r="W96" s="104">
        <f t="shared" si="1"/>
        <v>0</v>
      </c>
      <c r="X96" s="102"/>
      <c r="Y96" s="101"/>
      <c r="Z96" s="101"/>
      <c r="AA96" s="101"/>
      <c r="AB96" s="101"/>
    </row>
    <row r="97" spans="1:28" x14ac:dyDescent="0.45">
      <c r="A97" s="21">
        <v>88</v>
      </c>
      <c r="B97" s="99"/>
      <c r="C97" s="96"/>
      <c r="D97" s="96"/>
      <c r="E97" s="97"/>
      <c r="F97" s="98"/>
      <c r="G97" s="98"/>
      <c r="H97" s="98"/>
      <c r="I97" s="98"/>
      <c r="J97" s="98"/>
      <c r="K97" s="99"/>
      <c r="L97" s="102"/>
      <c r="M97" s="103">
        <f>IF(ISBLANK(H97),0,VLOOKUP(H97,Справочник!$A$4:$C$11,2,0))</f>
        <v>0</v>
      </c>
      <c r="N97" s="103">
        <f>IF(ISBLANK(I97),0,VLOOKUP(I97,Справочник!$A$4:$C$11,2,0))</f>
        <v>0</v>
      </c>
      <c r="O97" s="103">
        <f>IF(ISBLANK(F97),0,VLOOKUP(F97,Справочник!$A$4:$C$11,2,0))</f>
        <v>0</v>
      </c>
      <c r="P97" s="103">
        <f>IF(ISBLANK(G97),0,VLOOKUP(G97,Справочник!$A$1:$C$11,2,0))</f>
        <v>0</v>
      </c>
      <c r="Q97" s="103">
        <f>IF(ISBLANK(H97),0,VLOOKUP(H97,Справочник!$A$4:$C$11,3,0))</f>
        <v>0</v>
      </c>
      <c r="R97" s="103">
        <f>IF(ISBLANK(I97),0,VLOOKUP(I97,Справочник!$A$4:$C$11,3,0))</f>
        <v>0</v>
      </c>
      <c r="S97" s="103">
        <f>IF(ISBLANK(F97),0,VLOOKUP(F97,Справочник!$A$4:$C$11,3,0))</f>
        <v>0</v>
      </c>
      <c r="T97" s="103">
        <f>IF(ISBLANK(G97),0,VLOOKUP(G97,Справочник!$A$4:$C$11,3,0))</f>
        <v>0</v>
      </c>
      <c r="U97" s="103">
        <f>IF(ISBLANK(J97),0,VLOOKUP(J97,Справочник!$E$4:$F$7,2,0))</f>
        <v>0</v>
      </c>
      <c r="V97" s="104">
        <f t="shared" si="0"/>
        <v>0</v>
      </c>
      <c r="W97" s="104">
        <f t="shared" si="1"/>
        <v>0</v>
      </c>
      <c r="X97" s="102"/>
      <c r="Y97" s="101"/>
      <c r="Z97" s="101"/>
      <c r="AA97" s="101"/>
      <c r="AB97" s="101"/>
    </row>
    <row r="98" spans="1:28" x14ac:dyDescent="0.45">
      <c r="A98" s="21">
        <v>89</v>
      </c>
      <c r="B98" s="99"/>
      <c r="C98" s="96"/>
      <c r="D98" s="96"/>
      <c r="E98" s="97"/>
      <c r="F98" s="98"/>
      <c r="G98" s="98"/>
      <c r="H98" s="98"/>
      <c r="I98" s="98"/>
      <c r="J98" s="98"/>
      <c r="K98" s="99"/>
      <c r="L98" s="102"/>
      <c r="M98" s="103">
        <f>IF(ISBLANK(H98),0,VLOOKUP(H98,Справочник!$A$4:$C$11,2,0))</f>
        <v>0</v>
      </c>
      <c r="N98" s="103">
        <f>IF(ISBLANK(I98),0,VLOOKUP(I98,Справочник!$A$4:$C$11,2,0))</f>
        <v>0</v>
      </c>
      <c r="O98" s="103">
        <f>IF(ISBLANK(F98),0,VLOOKUP(F98,Справочник!$A$4:$C$11,2,0))</f>
        <v>0</v>
      </c>
      <c r="P98" s="103">
        <f>IF(ISBLANK(G98),0,VLOOKUP(G98,Справочник!$A$1:$C$11,2,0))</f>
        <v>0</v>
      </c>
      <c r="Q98" s="103">
        <f>IF(ISBLANK(H98),0,VLOOKUP(H98,Справочник!$A$4:$C$11,3,0))</f>
        <v>0</v>
      </c>
      <c r="R98" s="103">
        <f>IF(ISBLANK(I98),0,VLOOKUP(I98,Справочник!$A$4:$C$11,3,0))</f>
        <v>0</v>
      </c>
      <c r="S98" s="103">
        <f>IF(ISBLANK(F98),0,VLOOKUP(F98,Справочник!$A$4:$C$11,3,0))</f>
        <v>0</v>
      </c>
      <c r="T98" s="103">
        <f>IF(ISBLANK(G98),0,VLOOKUP(G98,Справочник!$A$4:$C$11,3,0))</f>
        <v>0</v>
      </c>
      <c r="U98" s="103">
        <f>IF(ISBLANK(J98),0,VLOOKUP(J98,Справочник!$E$4:$F$7,2,0))</f>
        <v>0</v>
      </c>
      <c r="V98" s="104">
        <f t="shared" si="0"/>
        <v>0</v>
      </c>
      <c r="W98" s="104">
        <f t="shared" si="1"/>
        <v>0</v>
      </c>
      <c r="X98" s="102"/>
      <c r="Y98" s="101"/>
      <c r="Z98" s="101"/>
      <c r="AA98" s="101"/>
      <c r="AB98" s="101"/>
    </row>
    <row r="99" spans="1:28" x14ac:dyDescent="0.45">
      <c r="A99" s="22">
        <v>90</v>
      </c>
      <c r="B99" s="99"/>
      <c r="C99" s="96"/>
      <c r="D99" s="96"/>
      <c r="E99" s="97"/>
      <c r="F99" s="98"/>
      <c r="G99" s="98"/>
      <c r="H99" s="98"/>
      <c r="I99" s="98"/>
      <c r="J99" s="98"/>
      <c r="K99" s="99"/>
      <c r="L99" s="102"/>
      <c r="M99" s="103">
        <f>IF(ISBLANK(H99),0,VLOOKUP(H99,Справочник!$A$4:$C$11,2,0))</f>
        <v>0</v>
      </c>
      <c r="N99" s="103">
        <f>IF(ISBLANK(I99),0,VLOOKUP(I99,Справочник!$A$4:$C$11,2,0))</f>
        <v>0</v>
      </c>
      <c r="O99" s="103">
        <f>IF(ISBLANK(F99),0,VLOOKUP(F99,Справочник!$A$4:$C$11,2,0))</f>
        <v>0</v>
      </c>
      <c r="P99" s="103">
        <f>IF(ISBLANK(G99),0,VLOOKUP(G99,Справочник!$A$1:$C$11,2,0))</f>
        <v>0</v>
      </c>
      <c r="Q99" s="103">
        <f>IF(ISBLANK(H99),0,VLOOKUP(H99,Справочник!$A$4:$C$11,3,0))</f>
        <v>0</v>
      </c>
      <c r="R99" s="103">
        <f>IF(ISBLANK(I99),0,VLOOKUP(I99,Справочник!$A$4:$C$11,3,0))</f>
        <v>0</v>
      </c>
      <c r="S99" s="103">
        <f>IF(ISBLANK(F99),0,VLOOKUP(F99,Справочник!$A$4:$C$11,3,0))</f>
        <v>0</v>
      </c>
      <c r="T99" s="103">
        <f>IF(ISBLANK(G99),0,VLOOKUP(G99,Справочник!$A$4:$C$11,3,0))</f>
        <v>0</v>
      </c>
      <c r="U99" s="103">
        <f>IF(ISBLANK(J99),0,VLOOKUP(J99,Справочник!$E$4:$F$7,2,0))</f>
        <v>0</v>
      </c>
      <c r="V99" s="104">
        <f t="shared" si="0"/>
        <v>0</v>
      </c>
      <c r="W99" s="104">
        <f t="shared" si="1"/>
        <v>0</v>
      </c>
      <c r="X99" s="102"/>
      <c r="Y99" s="101"/>
      <c r="Z99" s="101"/>
      <c r="AA99" s="101"/>
      <c r="AB99" s="101"/>
    </row>
    <row r="100" spans="1:28" x14ac:dyDescent="0.45">
      <c r="A100" s="21">
        <v>91</v>
      </c>
      <c r="B100" s="99"/>
      <c r="C100" s="96"/>
      <c r="D100" s="96"/>
      <c r="E100" s="97"/>
      <c r="F100" s="98"/>
      <c r="G100" s="98"/>
      <c r="H100" s="98"/>
      <c r="I100" s="98"/>
      <c r="J100" s="98"/>
      <c r="K100" s="99"/>
      <c r="L100" s="102"/>
      <c r="M100" s="103">
        <f>IF(ISBLANK(H100),0,VLOOKUP(H100,Справочник!$A$4:$C$11,2,0))</f>
        <v>0</v>
      </c>
      <c r="N100" s="103">
        <f>IF(ISBLANK(I100),0,VLOOKUP(I100,Справочник!$A$4:$C$11,2,0))</f>
        <v>0</v>
      </c>
      <c r="O100" s="103">
        <f>IF(ISBLANK(F100),0,VLOOKUP(F100,Справочник!$A$4:$C$11,2,0))</f>
        <v>0</v>
      </c>
      <c r="P100" s="103">
        <f>IF(ISBLANK(G100),0,VLOOKUP(G100,Справочник!$A$1:$C$11,2,0))</f>
        <v>0</v>
      </c>
      <c r="Q100" s="103">
        <f>IF(ISBLANK(H100),0,VLOOKUP(H100,Справочник!$A$4:$C$11,3,0))</f>
        <v>0</v>
      </c>
      <c r="R100" s="103">
        <f>IF(ISBLANK(I100),0,VLOOKUP(I100,Справочник!$A$4:$C$11,3,0))</f>
        <v>0</v>
      </c>
      <c r="S100" s="103">
        <f>IF(ISBLANK(F100),0,VLOOKUP(F100,Справочник!$A$4:$C$11,3,0))</f>
        <v>0</v>
      </c>
      <c r="T100" s="103">
        <f>IF(ISBLANK(G100),0,VLOOKUP(G100,Справочник!$A$4:$C$11,3,0))</f>
        <v>0</v>
      </c>
      <c r="U100" s="103">
        <f>IF(ISBLANK(J100),0,VLOOKUP(J100,Справочник!$E$4:$F$7,2,0))</f>
        <v>0</v>
      </c>
      <c r="V100" s="104">
        <f t="shared" ref="V100:V131" si="2">((C100*2+D100*2)/1000)*E100</f>
        <v>0</v>
      </c>
      <c r="W100" s="104">
        <f t="shared" ref="W100:W131" si="3">((C100+D100*2)/1000)*E100</f>
        <v>0</v>
      </c>
      <c r="X100" s="102"/>
      <c r="Y100" s="101"/>
      <c r="Z100" s="101"/>
      <c r="AA100" s="101"/>
      <c r="AB100" s="101"/>
    </row>
    <row r="101" spans="1:28" x14ac:dyDescent="0.45">
      <c r="A101" s="21">
        <v>92</v>
      </c>
      <c r="B101" s="99"/>
      <c r="C101" s="96"/>
      <c r="D101" s="96"/>
      <c r="E101" s="97"/>
      <c r="F101" s="98"/>
      <c r="G101" s="98"/>
      <c r="H101" s="98"/>
      <c r="I101" s="98"/>
      <c r="J101" s="98"/>
      <c r="K101" s="99"/>
      <c r="L101" s="102"/>
      <c r="M101" s="103">
        <f>IF(ISBLANK(H101),0,VLOOKUP(H101,Справочник!$A$4:$C$11,2,0))</f>
        <v>0</v>
      </c>
      <c r="N101" s="103">
        <f>IF(ISBLANK(I101),0,VLOOKUP(I101,Справочник!$A$4:$C$11,2,0))</f>
        <v>0</v>
      </c>
      <c r="O101" s="103">
        <f>IF(ISBLANK(F101),0,VLOOKUP(F101,Справочник!$A$4:$C$11,2,0))</f>
        <v>0</v>
      </c>
      <c r="P101" s="103">
        <f>IF(ISBLANK(G101),0,VLOOKUP(G101,Справочник!$A$1:$C$11,2,0))</f>
        <v>0</v>
      </c>
      <c r="Q101" s="103">
        <f>IF(ISBLANK(H101),0,VLOOKUP(H101,Справочник!$A$4:$C$11,3,0))</f>
        <v>0</v>
      </c>
      <c r="R101" s="103">
        <f>IF(ISBLANK(I101),0,VLOOKUP(I101,Справочник!$A$4:$C$11,3,0))</f>
        <v>0</v>
      </c>
      <c r="S101" s="103">
        <f>IF(ISBLANK(F101),0,VLOOKUP(F101,Справочник!$A$4:$C$11,3,0))</f>
        <v>0</v>
      </c>
      <c r="T101" s="103">
        <f>IF(ISBLANK(G101),0,VLOOKUP(G101,Справочник!$A$4:$C$11,3,0))</f>
        <v>0</v>
      </c>
      <c r="U101" s="103">
        <f>IF(ISBLANK(J101),0,VLOOKUP(J101,Справочник!$E$4:$F$7,2,0))</f>
        <v>0</v>
      </c>
      <c r="V101" s="104">
        <f t="shared" si="2"/>
        <v>0</v>
      </c>
      <c r="W101" s="104">
        <f t="shared" si="3"/>
        <v>0</v>
      </c>
      <c r="X101" s="102"/>
      <c r="Y101" s="101"/>
      <c r="Z101" s="101"/>
      <c r="AA101" s="101"/>
      <c r="AB101" s="101"/>
    </row>
    <row r="102" spans="1:28" x14ac:dyDescent="0.45">
      <c r="A102" s="22">
        <v>93</v>
      </c>
      <c r="B102" s="99"/>
      <c r="C102" s="96"/>
      <c r="D102" s="96"/>
      <c r="E102" s="97"/>
      <c r="F102" s="98"/>
      <c r="G102" s="98"/>
      <c r="H102" s="98"/>
      <c r="I102" s="98"/>
      <c r="J102" s="98"/>
      <c r="K102" s="99"/>
      <c r="L102" s="102"/>
      <c r="M102" s="103">
        <f>IF(ISBLANK(H102),0,VLOOKUP(H102,Справочник!$A$4:$C$11,2,0))</f>
        <v>0</v>
      </c>
      <c r="N102" s="103">
        <f>IF(ISBLANK(I102),0,VLOOKUP(I102,Справочник!$A$4:$C$11,2,0))</f>
        <v>0</v>
      </c>
      <c r="O102" s="103">
        <f>IF(ISBLANK(F102),0,VLOOKUP(F102,Справочник!$A$4:$C$11,2,0))</f>
        <v>0</v>
      </c>
      <c r="P102" s="103">
        <f>IF(ISBLANK(G102),0,VLOOKUP(G102,Справочник!$A$1:$C$11,2,0))</f>
        <v>0</v>
      </c>
      <c r="Q102" s="103">
        <f>IF(ISBLANK(H102),0,VLOOKUP(H102,Справочник!$A$4:$C$11,3,0))</f>
        <v>0</v>
      </c>
      <c r="R102" s="103">
        <f>IF(ISBLANK(I102),0,VLOOKUP(I102,Справочник!$A$4:$C$11,3,0))</f>
        <v>0</v>
      </c>
      <c r="S102" s="103">
        <f>IF(ISBLANK(F102),0,VLOOKUP(F102,Справочник!$A$4:$C$11,3,0))</f>
        <v>0</v>
      </c>
      <c r="T102" s="103">
        <f>IF(ISBLANK(G102),0,VLOOKUP(G102,Справочник!$A$4:$C$11,3,0))</f>
        <v>0</v>
      </c>
      <c r="U102" s="103">
        <f>IF(ISBLANK(J102),0,VLOOKUP(J102,Справочник!$E$4:$F$7,2,0))</f>
        <v>0</v>
      </c>
      <c r="V102" s="104">
        <f t="shared" si="2"/>
        <v>0</v>
      </c>
      <c r="W102" s="104">
        <f t="shared" si="3"/>
        <v>0</v>
      </c>
      <c r="X102" s="102"/>
      <c r="Y102" s="101"/>
      <c r="Z102" s="101"/>
      <c r="AA102" s="101"/>
      <c r="AB102" s="101"/>
    </row>
    <row r="103" spans="1:28" x14ac:dyDescent="0.45">
      <c r="A103" s="21">
        <v>94</v>
      </c>
      <c r="B103" s="99"/>
      <c r="C103" s="96"/>
      <c r="D103" s="96"/>
      <c r="E103" s="97"/>
      <c r="F103" s="98"/>
      <c r="G103" s="98"/>
      <c r="H103" s="98"/>
      <c r="I103" s="98"/>
      <c r="J103" s="98"/>
      <c r="K103" s="99"/>
      <c r="L103" s="102"/>
      <c r="M103" s="103">
        <f>IF(ISBLANK(H103),0,VLOOKUP(H103,Справочник!$A$4:$C$11,2,0))</f>
        <v>0</v>
      </c>
      <c r="N103" s="103">
        <f>IF(ISBLANK(I103),0,VLOOKUP(I103,Справочник!$A$4:$C$11,2,0))</f>
        <v>0</v>
      </c>
      <c r="O103" s="103">
        <f>IF(ISBLANK(F103),0,VLOOKUP(F103,Справочник!$A$4:$C$11,2,0))</f>
        <v>0</v>
      </c>
      <c r="P103" s="103">
        <f>IF(ISBLANK(G103),0,VLOOKUP(G103,Справочник!$A$1:$C$11,2,0))</f>
        <v>0</v>
      </c>
      <c r="Q103" s="103">
        <f>IF(ISBLANK(H103),0,VLOOKUP(H103,Справочник!$A$4:$C$11,3,0))</f>
        <v>0</v>
      </c>
      <c r="R103" s="103">
        <f>IF(ISBLANK(I103),0,VLOOKUP(I103,Справочник!$A$4:$C$11,3,0))</f>
        <v>0</v>
      </c>
      <c r="S103" s="103">
        <f>IF(ISBLANK(F103),0,VLOOKUP(F103,Справочник!$A$4:$C$11,3,0))</f>
        <v>0</v>
      </c>
      <c r="T103" s="103">
        <f>IF(ISBLANK(G103),0,VLOOKUP(G103,Справочник!$A$4:$C$11,3,0))</f>
        <v>0</v>
      </c>
      <c r="U103" s="103">
        <f>IF(ISBLANK(J103),0,VLOOKUP(J103,Справочник!$E$4:$F$7,2,0))</f>
        <v>0</v>
      </c>
      <c r="V103" s="104">
        <f t="shared" si="2"/>
        <v>0</v>
      </c>
      <c r="W103" s="104">
        <f t="shared" si="3"/>
        <v>0</v>
      </c>
      <c r="X103" s="102"/>
      <c r="Y103" s="101"/>
      <c r="Z103" s="101"/>
      <c r="AA103" s="101"/>
      <c r="AB103" s="101"/>
    </row>
    <row r="104" spans="1:28" x14ac:dyDescent="0.45">
      <c r="A104" s="21">
        <v>95</v>
      </c>
      <c r="B104" s="99"/>
      <c r="C104" s="96"/>
      <c r="D104" s="96"/>
      <c r="E104" s="97"/>
      <c r="F104" s="98"/>
      <c r="G104" s="98"/>
      <c r="H104" s="98"/>
      <c r="I104" s="98"/>
      <c r="J104" s="98"/>
      <c r="K104" s="99"/>
      <c r="L104" s="102"/>
      <c r="M104" s="103">
        <f>IF(ISBLANK(H104),0,VLOOKUP(H104,Справочник!$A$4:$C$11,2,0))</f>
        <v>0</v>
      </c>
      <c r="N104" s="103">
        <f>IF(ISBLANK(I104),0,VLOOKUP(I104,Справочник!$A$4:$C$11,2,0))</f>
        <v>0</v>
      </c>
      <c r="O104" s="103">
        <f>IF(ISBLANK(F104),0,VLOOKUP(F104,Справочник!$A$4:$C$11,2,0))</f>
        <v>0</v>
      </c>
      <c r="P104" s="103">
        <f>IF(ISBLANK(G104),0,VLOOKUP(G104,Справочник!$A$1:$C$11,2,0))</f>
        <v>0</v>
      </c>
      <c r="Q104" s="103">
        <f>IF(ISBLANK(H104),0,VLOOKUP(H104,Справочник!$A$4:$C$11,3,0))</f>
        <v>0</v>
      </c>
      <c r="R104" s="103">
        <f>IF(ISBLANK(I104),0,VLOOKUP(I104,Справочник!$A$4:$C$11,3,0))</f>
        <v>0</v>
      </c>
      <c r="S104" s="103">
        <f>IF(ISBLANK(F104),0,VLOOKUP(F104,Справочник!$A$4:$C$11,3,0))</f>
        <v>0</v>
      </c>
      <c r="T104" s="103">
        <f>IF(ISBLANK(G104),0,VLOOKUP(G104,Справочник!$A$4:$C$11,3,0))</f>
        <v>0</v>
      </c>
      <c r="U104" s="103">
        <f>IF(ISBLANK(J104),0,VLOOKUP(J104,Справочник!$E$4:$F$7,2,0))</f>
        <v>0</v>
      </c>
      <c r="V104" s="104">
        <f t="shared" si="2"/>
        <v>0</v>
      </c>
      <c r="W104" s="104">
        <f t="shared" si="3"/>
        <v>0</v>
      </c>
      <c r="X104" s="102"/>
      <c r="Y104" s="101"/>
      <c r="Z104" s="101"/>
      <c r="AA104" s="101"/>
      <c r="AB104" s="101"/>
    </row>
    <row r="105" spans="1:28" x14ac:dyDescent="0.45">
      <c r="A105" s="22">
        <v>96</v>
      </c>
      <c r="B105" s="99"/>
      <c r="C105" s="96"/>
      <c r="D105" s="96"/>
      <c r="E105" s="97"/>
      <c r="F105" s="98"/>
      <c r="G105" s="98"/>
      <c r="H105" s="98"/>
      <c r="I105" s="98"/>
      <c r="J105" s="98"/>
      <c r="K105" s="99"/>
      <c r="L105" s="102"/>
      <c r="M105" s="103">
        <f>IF(ISBLANK(H105),0,VLOOKUP(H105,Справочник!$A$4:$C$11,2,0))</f>
        <v>0</v>
      </c>
      <c r="N105" s="103">
        <f>IF(ISBLANK(I105),0,VLOOKUP(I105,Справочник!$A$4:$C$11,2,0))</f>
        <v>0</v>
      </c>
      <c r="O105" s="103">
        <f>IF(ISBLANK(F105),0,VLOOKUP(F105,Справочник!$A$4:$C$11,2,0))</f>
        <v>0</v>
      </c>
      <c r="P105" s="103">
        <f>IF(ISBLANK(G105),0,VLOOKUP(G105,Справочник!$A$1:$C$11,2,0))</f>
        <v>0</v>
      </c>
      <c r="Q105" s="103">
        <f>IF(ISBLANK(H105),0,VLOOKUP(H105,Справочник!$A$4:$C$11,3,0))</f>
        <v>0</v>
      </c>
      <c r="R105" s="103">
        <f>IF(ISBLANK(I105),0,VLOOKUP(I105,Справочник!$A$4:$C$11,3,0))</f>
        <v>0</v>
      </c>
      <c r="S105" s="103">
        <f>IF(ISBLANK(F105),0,VLOOKUP(F105,Справочник!$A$4:$C$11,3,0))</f>
        <v>0</v>
      </c>
      <c r="T105" s="103">
        <f>IF(ISBLANK(G105),0,VLOOKUP(G105,Справочник!$A$4:$C$11,3,0))</f>
        <v>0</v>
      </c>
      <c r="U105" s="103">
        <f>IF(ISBLANK(J105),0,VLOOKUP(J105,Справочник!$E$4:$F$7,2,0))</f>
        <v>0</v>
      </c>
      <c r="V105" s="104">
        <f t="shared" si="2"/>
        <v>0</v>
      </c>
      <c r="W105" s="104">
        <f t="shared" si="3"/>
        <v>0</v>
      </c>
      <c r="X105" s="102"/>
      <c r="Y105" s="101"/>
      <c r="Z105" s="101"/>
      <c r="AA105" s="101"/>
      <c r="AB105" s="101"/>
    </row>
    <row r="106" spans="1:28" x14ac:dyDescent="0.45">
      <c r="A106" s="21">
        <v>97</v>
      </c>
      <c r="B106" s="99"/>
      <c r="C106" s="96"/>
      <c r="D106" s="96"/>
      <c r="E106" s="97"/>
      <c r="F106" s="98"/>
      <c r="G106" s="98"/>
      <c r="H106" s="98"/>
      <c r="I106" s="98"/>
      <c r="J106" s="98"/>
      <c r="K106" s="99"/>
      <c r="L106" s="102"/>
      <c r="M106" s="103">
        <f>IF(ISBLANK(H106),0,VLOOKUP(H106,Справочник!$A$4:$C$11,2,0))</f>
        <v>0</v>
      </c>
      <c r="N106" s="103">
        <f>IF(ISBLANK(I106),0,VLOOKUP(I106,Справочник!$A$4:$C$11,2,0))</f>
        <v>0</v>
      </c>
      <c r="O106" s="103">
        <f>IF(ISBLANK(F106),0,VLOOKUP(F106,Справочник!$A$4:$C$11,2,0))</f>
        <v>0</v>
      </c>
      <c r="P106" s="103">
        <f>IF(ISBLANK(G106),0,VLOOKUP(G106,Справочник!$A$1:$C$11,2,0))</f>
        <v>0</v>
      </c>
      <c r="Q106" s="103">
        <f>IF(ISBLANK(H106),0,VLOOKUP(H106,Справочник!$A$4:$C$11,3,0))</f>
        <v>0</v>
      </c>
      <c r="R106" s="103">
        <f>IF(ISBLANK(I106),0,VLOOKUP(I106,Справочник!$A$4:$C$11,3,0))</f>
        <v>0</v>
      </c>
      <c r="S106" s="103">
        <f>IF(ISBLANK(F106),0,VLOOKUP(F106,Справочник!$A$4:$C$11,3,0))</f>
        <v>0</v>
      </c>
      <c r="T106" s="103">
        <f>IF(ISBLANK(G106),0,VLOOKUP(G106,Справочник!$A$4:$C$11,3,0))</f>
        <v>0</v>
      </c>
      <c r="U106" s="103">
        <f>IF(ISBLANK(J106),0,VLOOKUP(J106,Справочник!$E$4:$F$7,2,0))</f>
        <v>0</v>
      </c>
      <c r="V106" s="104">
        <f t="shared" si="2"/>
        <v>0</v>
      </c>
      <c r="W106" s="104">
        <f t="shared" si="3"/>
        <v>0</v>
      </c>
      <c r="X106" s="102"/>
      <c r="Y106" s="101"/>
      <c r="Z106" s="101"/>
      <c r="AA106" s="101"/>
      <c r="AB106" s="101"/>
    </row>
    <row r="107" spans="1:28" x14ac:dyDescent="0.45">
      <c r="A107" s="21">
        <v>98</v>
      </c>
      <c r="B107" s="99"/>
      <c r="C107" s="96"/>
      <c r="D107" s="96"/>
      <c r="E107" s="97"/>
      <c r="F107" s="98"/>
      <c r="G107" s="98"/>
      <c r="H107" s="98"/>
      <c r="I107" s="98"/>
      <c r="J107" s="98"/>
      <c r="K107" s="99"/>
      <c r="L107" s="102"/>
      <c r="M107" s="103">
        <f>IF(ISBLANK(H107),0,VLOOKUP(H107,Справочник!$A$4:$C$11,2,0))</f>
        <v>0</v>
      </c>
      <c r="N107" s="103">
        <f>IF(ISBLANK(I107),0,VLOOKUP(I107,Справочник!$A$4:$C$11,2,0))</f>
        <v>0</v>
      </c>
      <c r="O107" s="103">
        <f>IF(ISBLANK(F107),0,VLOOKUP(F107,Справочник!$A$4:$C$11,2,0))</f>
        <v>0</v>
      </c>
      <c r="P107" s="103">
        <f>IF(ISBLANK(G107),0,VLOOKUP(G107,Справочник!$A$1:$C$11,2,0))</f>
        <v>0</v>
      </c>
      <c r="Q107" s="103">
        <f>IF(ISBLANK(H107),0,VLOOKUP(H107,Справочник!$A$4:$C$11,3,0))</f>
        <v>0</v>
      </c>
      <c r="R107" s="103">
        <f>IF(ISBLANK(I107),0,VLOOKUP(I107,Справочник!$A$4:$C$11,3,0))</f>
        <v>0</v>
      </c>
      <c r="S107" s="103">
        <f>IF(ISBLANK(F107),0,VLOOKUP(F107,Справочник!$A$4:$C$11,3,0))</f>
        <v>0</v>
      </c>
      <c r="T107" s="103">
        <f>IF(ISBLANK(G107),0,VLOOKUP(G107,Справочник!$A$4:$C$11,3,0))</f>
        <v>0</v>
      </c>
      <c r="U107" s="103">
        <f>IF(ISBLANK(J107),0,VLOOKUP(J107,Справочник!$E$4:$F$7,2,0))</f>
        <v>0</v>
      </c>
      <c r="V107" s="104">
        <f t="shared" si="2"/>
        <v>0</v>
      </c>
      <c r="W107" s="104">
        <f t="shared" si="3"/>
        <v>0</v>
      </c>
      <c r="X107" s="102"/>
      <c r="Y107" s="101"/>
      <c r="Z107" s="101"/>
      <c r="AA107" s="101"/>
      <c r="AB107" s="101"/>
    </row>
    <row r="108" spans="1:28" x14ac:dyDescent="0.45">
      <c r="A108" s="23">
        <v>99</v>
      </c>
      <c r="B108" s="99"/>
      <c r="C108" s="96"/>
      <c r="D108" s="96"/>
      <c r="E108" s="97"/>
      <c r="F108" s="98"/>
      <c r="G108" s="98"/>
      <c r="H108" s="98"/>
      <c r="I108" s="98"/>
      <c r="J108" s="98"/>
      <c r="K108" s="99"/>
      <c r="L108" s="102"/>
      <c r="M108" s="103">
        <f>IF(ISBLANK(H108),0,VLOOKUP(H108,Справочник!$A$4:$C$11,2,0))</f>
        <v>0</v>
      </c>
      <c r="N108" s="103">
        <f>IF(ISBLANK(I108),0,VLOOKUP(I108,Справочник!$A$4:$C$11,2,0))</f>
        <v>0</v>
      </c>
      <c r="O108" s="103">
        <f>IF(ISBLANK(F108),0,VLOOKUP(F108,Справочник!$A$4:$C$11,2,0))</f>
        <v>0</v>
      </c>
      <c r="P108" s="103">
        <f>IF(ISBLANK(G108),0,VLOOKUP(G108,Справочник!$A$1:$C$11,2,0))</f>
        <v>0</v>
      </c>
      <c r="Q108" s="103">
        <f>IF(ISBLANK(H108),0,VLOOKUP(H108,Справочник!$A$4:$C$11,3,0))</f>
        <v>0</v>
      </c>
      <c r="R108" s="103">
        <f>IF(ISBLANK(I108),0,VLOOKUP(I108,Справочник!$A$4:$C$11,3,0))</f>
        <v>0</v>
      </c>
      <c r="S108" s="103">
        <f>IF(ISBLANK(F108),0,VLOOKUP(F108,Справочник!$A$4:$C$11,3,0))</f>
        <v>0</v>
      </c>
      <c r="T108" s="103">
        <f>IF(ISBLANK(G108),0,VLOOKUP(G108,Справочник!$A$4:$C$11,3,0))</f>
        <v>0</v>
      </c>
      <c r="U108" s="103">
        <f>IF(ISBLANK(J108),0,VLOOKUP(J108,Справочник!$E$4:$F$7,2,0))</f>
        <v>0</v>
      </c>
      <c r="V108" s="104">
        <f t="shared" si="2"/>
        <v>0</v>
      </c>
      <c r="W108" s="104">
        <f t="shared" si="3"/>
        <v>0</v>
      </c>
      <c r="X108" s="102"/>
      <c r="Y108" s="101"/>
      <c r="Z108" s="101"/>
      <c r="AA108" s="101"/>
      <c r="AB108" s="101"/>
    </row>
    <row r="109" spans="1:28" x14ac:dyDescent="0.45">
      <c r="A109" s="21">
        <v>100</v>
      </c>
      <c r="B109" s="99"/>
      <c r="C109" s="96"/>
      <c r="D109" s="96"/>
      <c r="E109" s="97"/>
      <c r="F109" s="98"/>
      <c r="G109" s="98"/>
      <c r="H109" s="98"/>
      <c r="I109" s="98"/>
      <c r="J109" s="98"/>
      <c r="K109" s="99"/>
      <c r="L109" s="102"/>
      <c r="M109" s="103">
        <f>IF(ISBLANK(H109),0,VLOOKUP(H109,Справочник!$A$4:$C$11,2,0))</f>
        <v>0</v>
      </c>
      <c r="N109" s="103">
        <f>IF(ISBLANK(I109),0,VLOOKUP(I109,Справочник!$A$4:$C$11,2,0))</f>
        <v>0</v>
      </c>
      <c r="O109" s="103">
        <f>IF(ISBLANK(F109),0,VLOOKUP(F109,Справочник!$A$4:$C$11,2,0))</f>
        <v>0</v>
      </c>
      <c r="P109" s="103">
        <f>IF(ISBLANK(G109),0,VLOOKUP(G109,Справочник!$A$1:$C$11,2,0))</f>
        <v>0</v>
      </c>
      <c r="Q109" s="103">
        <f>IF(ISBLANK(H109),0,VLOOKUP(H109,Справочник!$A$4:$C$11,3,0))</f>
        <v>0</v>
      </c>
      <c r="R109" s="103">
        <f>IF(ISBLANK(I109),0,VLOOKUP(I109,Справочник!$A$4:$C$11,3,0))</f>
        <v>0</v>
      </c>
      <c r="S109" s="103">
        <f>IF(ISBLANK(F109),0,VLOOKUP(F109,Справочник!$A$4:$C$11,3,0))</f>
        <v>0</v>
      </c>
      <c r="T109" s="103">
        <f>IF(ISBLANK(G109),0,VLOOKUP(G109,Справочник!$A$4:$C$11,3,0))</f>
        <v>0</v>
      </c>
      <c r="U109" s="103">
        <f>IF(ISBLANK(J109),0,VLOOKUP(J109,Справочник!$E$4:$F$7,2,0))</f>
        <v>0</v>
      </c>
      <c r="V109" s="104">
        <f t="shared" si="2"/>
        <v>0</v>
      </c>
      <c r="W109" s="104">
        <f t="shared" si="3"/>
        <v>0</v>
      </c>
      <c r="X109" s="102"/>
      <c r="Y109" s="101"/>
      <c r="Z109" s="101"/>
      <c r="AA109" s="101"/>
      <c r="AB109" s="101"/>
    </row>
    <row r="110" spans="1:28" x14ac:dyDescent="0.45">
      <c r="A110" s="21">
        <v>101</v>
      </c>
      <c r="B110" s="99"/>
      <c r="C110" s="96"/>
      <c r="D110" s="96"/>
      <c r="E110" s="97"/>
      <c r="F110" s="98"/>
      <c r="G110" s="98"/>
      <c r="H110" s="98"/>
      <c r="I110" s="98"/>
      <c r="J110" s="98"/>
      <c r="K110" s="99"/>
      <c r="L110" s="102"/>
      <c r="M110" s="103">
        <f>IF(ISBLANK(H110),0,VLOOKUP(H110,Справочник!$A$4:$C$11,2,0))</f>
        <v>0</v>
      </c>
      <c r="N110" s="103">
        <f>IF(ISBLANK(I110),0,VLOOKUP(I110,Справочник!$A$4:$C$11,2,0))</f>
        <v>0</v>
      </c>
      <c r="O110" s="103">
        <f>IF(ISBLANK(F110),0,VLOOKUP(F110,Справочник!$A$4:$C$11,2,0))</f>
        <v>0</v>
      </c>
      <c r="P110" s="103">
        <f>IF(ISBLANK(G110),0,VLOOKUP(G110,Справочник!$A$1:$C$11,2,0))</f>
        <v>0</v>
      </c>
      <c r="Q110" s="103">
        <f>IF(ISBLANK(H110),0,VLOOKUP(H110,Справочник!$A$4:$C$11,3,0))</f>
        <v>0</v>
      </c>
      <c r="R110" s="103">
        <f>IF(ISBLANK(I110),0,VLOOKUP(I110,Справочник!$A$4:$C$11,3,0))</f>
        <v>0</v>
      </c>
      <c r="S110" s="103">
        <f>IF(ISBLANK(F110),0,VLOOKUP(F110,Справочник!$A$4:$C$11,3,0))</f>
        <v>0</v>
      </c>
      <c r="T110" s="103">
        <f>IF(ISBLANK(G110),0,VLOOKUP(G110,Справочник!$A$4:$C$11,3,0))</f>
        <v>0</v>
      </c>
      <c r="U110" s="103">
        <f>IF(ISBLANK(J110),0,VLOOKUP(J110,Справочник!$E$4:$F$7,2,0))</f>
        <v>0</v>
      </c>
      <c r="V110" s="104">
        <f t="shared" si="2"/>
        <v>0</v>
      </c>
      <c r="W110" s="104">
        <f t="shared" si="3"/>
        <v>0</v>
      </c>
      <c r="X110" s="102"/>
      <c r="Y110" s="101"/>
      <c r="Z110" s="101"/>
      <c r="AA110" s="101"/>
      <c r="AB110" s="101"/>
    </row>
    <row r="111" spans="1:28" x14ac:dyDescent="0.45">
      <c r="A111" s="23">
        <v>102</v>
      </c>
      <c r="B111" s="99"/>
      <c r="C111" s="96"/>
      <c r="D111" s="96"/>
      <c r="E111" s="97"/>
      <c r="F111" s="98"/>
      <c r="G111" s="98"/>
      <c r="H111" s="98"/>
      <c r="I111" s="98"/>
      <c r="J111" s="98"/>
      <c r="K111" s="99"/>
      <c r="L111" s="102"/>
      <c r="M111" s="103">
        <f>IF(ISBLANK(H111),0,VLOOKUP(H111,Справочник!$A$4:$C$11,2,0))</f>
        <v>0</v>
      </c>
      <c r="N111" s="103">
        <f>IF(ISBLANK(I111),0,VLOOKUP(I111,Справочник!$A$4:$C$11,2,0))</f>
        <v>0</v>
      </c>
      <c r="O111" s="103">
        <f>IF(ISBLANK(F111),0,VLOOKUP(F111,Справочник!$A$4:$C$11,2,0))</f>
        <v>0</v>
      </c>
      <c r="P111" s="103">
        <f>IF(ISBLANK(G111),0,VLOOKUP(G111,Справочник!$A$1:$C$11,2,0))</f>
        <v>0</v>
      </c>
      <c r="Q111" s="103">
        <f>IF(ISBLANK(H111),0,VLOOKUP(H111,Справочник!$A$4:$C$11,3,0))</f>
        <v>0</v>
      </c>
      <c r="R111" s="103">
        <f>IF(ISBLANK(I111),0,VLOOKUP(I111,Справочник!$A$4:$C$11,3,0))</f>
        <v>0</v>
      </c>
      <c r="S111" s="103">
        <f>IF(ISBLANK(F111),0,VLOOKUP(F111,Справочник!$A$4:$C$11,3,0))</f>
        <v>0</v>
      </c>
      <c r="T111" s="103">
        <f>IF(ISBLANK(G111),0,VLOOKUP(G111,Справочник!$A$4:$C$11,3,0))</f>
        <v>0</v>
      </c>
      <c r="U111" s="103">
        <f>IF(ISBLANK(J111),0,VLOOKUP(J111,Справочник!$E$4:$F$7,2,0))</f>
        <v>0</v>
      </c>
      <c r="V111" s="104">
        <f t="shared" si="2"/>
        <v>0</v>
      </c>
      <c r="W111" s="104">
        <f t="shared" si="3"/>
        <v>0</v>
      </c>
      <c r="X111" s="102"/>
      <c r="Y111" s="101"/>
      <c r="Z111" s="101"/>
      <c r="AA111" s="101"/>
      <c r="AB111" s="101"/>
    </row>
    <row r="112" spans="1:28" x14ac:dyDescent="0.45">
      <c r="A112" s="21">
        <v>103</v>
      </c>
      <c r="B112" s="99"/>
      <c r="C112" s="96"/>
      <c r="D112" s="96"/>
      <c r="E112" s="97"/>
      <c r="F112" s="98"/>
      <c r="G112" s="98"/>
      <c r="H112" s="98"/>
      <c r="I112" s="98"/>
      <c r="J112" s="98"/>
      <c r="K112" s="99"/>
      <c r="L112" s="102"/>
      <c r="M112" s="103">
        <f>IF(ISBLANK(H112),0,VLOOKUP(H112,Справочник!$A$4:$C$11,2,0))</f>
        <v>0</v>
      </c>
      <c r="N112" s="103">
        <f>IF(ISBLANK(I112),0,VLOOKUP(I112,Справочник!$A$4:$C$11,2,0))</f>
        <v>0</v>
      </c>
      <c r="O112" s="103">
        <f>IF(ISBLANK(F112),0,VLOOKUP(F112,Справочник!$A$4:$C$11,2,0))</f>
        <v>0</v>
      </c>
      <c r="P112" s="103">
        <f>IF(ISBLANK(G112),0,VLOOKUP(G112,Справочник!$A$1:$C$11,2,0))</f>
        <v>0</v>
      </c>
      <c r="Q112" s="103">
        <f>IF(ISBLANK(H112),0,VLOOKUP(H112,Справочник!$A$4:$C$11,3,0))</f>
        <v>0</v>
      </c>
      <c r="R112" s="103">
        <f>IF(ISBLANK(I112),0,VLOOKUP(I112,Справочник!$A$4:$C$11,3,0))</f>
        <v>0</v>
      </c>
      <c r="S112" s="103">
        <f>IF(ISBLANK(F112),0,VLOOKUP(F112,Справочник!$A$4:$C$11,3,0))</f>
        <v>0</v>
      </c>
      <c r="T112" s="103">
        <f>IF(ISBLANK(G112),0,VLOOKUP(G112,Справочник!$A$4:$C$11,3,0))</f>
        <v>0</v>
      </c>
      <c r="U112" s="103">
        <f>IF(ISBLANK(J112),0,VLOOKUP(J112,Справочник!$E$4:$F$7,2,0))</f>
        <v>0</v>
      </c>
      <c r="V112" s="104">
        <f t="shared" si="2"/>
        <v>0</v>
      </c>
      <c r="W112" s="104">
        <f t="shared" si="3"/>
        <v>0</v>
      </c>
      <c r="X112" s="102"/>
      <c r="Y112" s="101"/>
      <c r="Z112" s="101"/>
      <c r="AA112" s="101"/>
      <c r="AB112" s="101"/>
    </row>
    <row r="113" spans="1:28" x14ac:dyDescent="0.45">
      <c r="A113" s="21">
        <v>104</v>
      </c>
      <c r="B113" s="99"/>
      <c r="C113" s="96"/>
      <c r="D113" s="96"/>
      <c r="E113" s="97"/>
      <c r="F113" s="98"/>
      <c r="G113" s="98"/>
      <c r="H113" s="98"/>
      <c r="I113" s="98"/>
      <c r="J113" s="98"/>
      <c r="K113" s="99"/>
      <c r="L113" s="102"/>
      <c r="M113" s="103">
        <f>IF(ISBLANK(H113),0,VLOOKUP(H113,Справочник!$A$4:$C$11,2,0))</f>
        <v>0</v>
      </c>
      <c r="N113" s="103">
        <f>IF(ISBLANK(I113),0,VLOOKUP(I113,Справочник!$A$4:$C$11,2,0))</f>
        <v>0</v>
      </c>
      <c r="O113" s="103">
        <f>IF(ISBLANK(F113),0,VLOOKUP(F113,Справочник!$A$4:$C$11,2,0))</f>
        <v>0</v>
      </c>
      <c r="P113" s="103">
        <f>IF(ISBLANK(G113),0,VLOOKUP(G113,Справочник!$A$1:$C$11,2,0))</f>
        <v>0</v>
      </c>
      <c r="Q113" s="103">
        <f>IF(ISBLANK(H113),0,VLOOKUP(H113,Справочник!$A$4:$C$11,3,0))</f>
        <v>0</v>
      </c>
      <c r="R113" s="103">
        <f>IF(ISBLANK(I113),0,VLOOKUP(I113,Справочник!$A$4:$C$11,3,0))</f>
        <v>0</v>
      </c>
      <c r="S113" s="103">
        <f>IF(ISBLANK(F113),0,VLOOKUP(F113,Справочник!$A$4:$C$11,3,0))</f>
        <v>0</v>
      </c>
      <c r="T113" s="103">
        <f>IF(ISBLANK(G113),0,VLOOKUP(G113,Справочник!$A$4:$C$11,3,0))</f>
        <v>0</v>
      </c>
      <c r="U113" s="103">
        <f>IF(ISBLANK(J113),0,VLOOKUP(J113,Справочник!$E$4:$F$7,2,0))</f>
        <v>0</v>
      </c>
      <c r="V113" s="104">
        <f t="shared" si="2"/>
        <v>0</v>
      </c>
      <c r="W113" s="104">
        <f t="shared" si="3"/>
        <v>0</v>
      </c>
      <c r="X113" s="102"/>
      <c r="Y113" s="101"/>
      <c r="Z113" s="101"/>
      <c r="AA113" s="101"/>
      <c r="AB113" s="101"/>
    </row>
    <row r="114" spans="1:28" x14ac:dyDescent="0.45">
      <c r="A114" s="23">
        <v>105</v>
      </c>
      <c r="B114" s="99"/>
      <c r="C114" s="96"/>
      <c r="D114" s="96"/>
      <c r="E114" s="97"/>
      <c r="F114" s="98"/>
      <c r="G114" s="98"/>
      <c r="H114" s="98"/>
      <c r="I114" s="98"/>
      <c r="J114" s="98"/>
      <c r="K114" s="99"/>
      <c r="L114" s="102"/>
      <c r="M114" s="103">
        <f>IF(ISBLANK(H114),0,VLOOKUP(H114,Справочник!$A$4:$C$11,2,0))</f>
        <v>0</v>
      </c>
      <c r="N114" s="103">
        <f>IF(ISBLANK(I114),0,VLOOKUP(I114,Справочник!$A$4:$C$11,2,0))</f>
        <v>0</v>
      </c>
      <c r="O114" s="103">
        <f>IF(ISBLANK(F114),0,VLOOKUP(F114,Справочник!$A$4:$C$11,2,0))</f>
        <v>0</v>
      </c>
      <c r="P114" s="103">
        <f>IF(ISBLANK(G114),0,VLOOKUP(G114,Справочник!$A$1:$C$11,2,0))</f>
        <v>0</v>
      </c>
      <c r="Q114" s="103">
        <f>IF(ISBLANK(H114),0,VLOOKUP(H114,Справочник!$A$4:$C$11,3,0))</f>
        <v>0</v>
      </c>
      <c r="R114" s="103">
        <f>IF(ISBLANK(I114),0,VLOOKUP(I114,Справочник!$A$4:$C$11,3,0))</f>
        <v>0</v>
      </c>
      <c r="S114" s="103">
        <f>IF(ISBLANK(F114),0,VLOOKUP(F114,Справочник!$A$4:$C$11,3,0))</f>
        <v>0</v>
      </c>
      <c r="T114" s="103">
        <f>IF(ISBLANK(G114),0,VLOOKUP(G114,Справочник!$A$4:$C$11,3,0))</f>
        <v>0</v>
      </c>
      <c r="U114" s="103">
        <f>IF(ISBLANK(J114),0,VLOOKUP(J114,Справочник!$E$4:$F$7,2,0))</f>
        <v>0</v>
      </c>
      <c r="V114" s="104">
        <f t="shared" si="2"/>
        <v>0</v>
      </c>
      <c r="W114" s="104">
        <f t="shared" si="3"/>
        <v>0</v>
      </c>
      <c r="X114" s="102"/>
      <c r="Y114" s="101"/>
      <c r="Z114" s="101"/>
      <c r="AA114" s="101"/>
      <c r="AB114" s="101"/>
    </row>
    <row r="115" spans="1:28" x14ac:dyDescent="0.45">
      <c r="A115" s="21">
        <v>106</v>
      </c>
      <c r="B115" s="99"/>
      <c r="C115" s="96"/>
      <c r="D115" s="96"/>
      <c r="E115" s="97"/>
      <c r="F115" s="98"/>
      <c r="G115" s="98"/>
      <c r="H115" s="98"/>
      <c r="I115" s="98"/>
      <c r="J115" s="98"/>
      <c r="K115" s="99"/>
      <c r="L115" s="102"/>
      <c r="M115" s="103">
        <f>IF(ISBLANK(H115),0,VLOOKUP(H115,Справочник!$A$4:$C$11,2,0))</f>
        <v>0</v>
      </c>
      <c r="N115" s="103">
        <f>IF(ISBLANK(I115),0,VLOOKUP(I115,Справочник!$A$4:$C$11,2,0))</f>
        <v>0</v>
      </c>
      <c r="O115" s="103">
        <f>IF(ISBLANK(F115),0,VLOOKUP(F115,Справочник!$A$4:$C$11,2,0))</f>
        <v>0</v>
      </c>
      <c r="P115" s="103">
        <f>IF(ISBLANK(G115),0,VLOOKUP(G115,Справочник!$A$1:$C$11,2,0))</f>
        <v>0</v>
      </c>
      <c r="Q115" s="103">
        <f>IF(ISBLANK(H115),0,VLOOKUP(H115,Справочник!$A$4:$C$11,3,0))</f>
        <v>0</v>
      </c>
      <c r="R115" s="103">
        <f>IF(ISBLANK(I115),0,VLOOKUP(I115,Справочник!$A$4:$C$11,3,0))</f>
        <v>0</v>
      </c>
      <c r="S115" s="103">
        <f>IF(ISBLANK(F115),0,VLOOKUP(F115,Справочник!$A$4:$C$11,3,0))</f>
        <v>0</v>
      </c>
      <c r="T115" s="103">
        <f>IF(ISBLANK(G115),0,VLOOKUP(G115,Справочник!$A$4:$C$11,3,0))</f>
        <v>0</v>
      </c>
      <c r="U115" s="103">
        <f>IF(ISBLANK(J115),0,VLOOKUP(J115,Справочник!$E$4:$F$7,2,0))</f>
        <v>0</v>
      </c>
      <c r="V115" s="104">
        <f t="shared" si="2"/>
        <v>0</v>
      </c>
      <c r="W115" s="104">
        <f t="shared" si="3"/>
        <v>0</v>
      </c>
      <c r="X115" s="102"/>
      <c r="Y115" s="101"/>
      <c r="Z115" s="101"/>
      <c r="AA115" s="101"/>
      <c r="AB115" s="101"/>
    </row>
    <row r="116" spans="1:28" x14ac:dyDescent="0.45">
      <c r="A116" s="21">
        <v>107</v>
      </c>
      <c r="B116" s="99"/>
      <c r="C116" s="96"/>
      <c r="D116" s="96"/>
      <c r="E116" s="97"/>
      <c r="F116" s="98"/>
      <c r="G116" s="98"/>
      <c r="H116" s="98"/>
      <c r="I116" s="98"/>
      <c r="J116" s="98"/>
      <c r="K116" s="99"/>
      <c r="L116" s="102"/>
      <c r="M116" s="103">
        <f>IF(ISBLANK(H116),0,VLOOKUP(H116,Справочник!$A$4:$C$11,2,0))</f>
        <v>0</v>
      </c>
      <c r="N116" s="103">
        <f>IF(ISBLANK(I116),0,VLOOKUP(I116,Справочник!$A$4:$C$11,2,0))</f>
        <v>0</v>
      </c>
      <c r="O116" s="103">
        <f>IF(ISBLANK(F116),0,VLOOKUP(F116,Справочник!$A$4:$C$11,2,0))</f>
        <v>0</v>
      </c>
      <c r="P116" s="103">
        <f>IF(ISBLANK(G116),0,VLOOKUP(G116,Справочник!$A$1:$C$11,2,0))</f>
        <v>0</v>
      </c>
      <c r="Q116" s="103">
        <f>IF(ISBLANK(H116),0,VLOOKUP(H116,Справочник!$A$4:$C$11,3,0))</f>
        <v>0</v>
      </c>
      <c r="R116" s="103">
        <f>IF(ISBLANK(I116),0,VLOOKUP(I116,Справочник!$A$4:$C$11,3,0))</f>
        <v>0</v>
      </c>
      <c r="S116" s="103">
        <f>IF(ISBLANK(F116),0,VLOOKUP(F116,Справочник!$A$4:$C$11,3,0))</f>
        <v>0</v>
      </c>
      <c r="T116" s="103">
        <f>IF(ISBLANK(G116),0,VLOOKUP(G116,Справочник!$A$4:$C$11,3,0))</f>
        <v>0</v>
      </c>
      <c r="U116" s="103">
        <f>IF(ISBLANK(J116),0,VLOOKUP(J116,Справочник!$E$4:$F$7,2,0))</f>
        <v>0</v>
      </c>
      <c r="V116" s="104">
        <f t="shared" si="2"/>
        <v>0</v>
      </c>
      <c r="W116" s="104">
        <f t="shared" si="3"/>
        <v>0</v>
      </c>
      <c r="X116" s="102"/>
      <c r="Y116" s="101"/>
      <c r="Z116" s="101"/>
      <c r="AA116" s="101"/>
      <c r="AB116" s="101"/>
    </row>
    <row r="117" spans="1:28" x14ac:dyDescent="0.45">
      <c r="A117" s="23">
        <v>108</v>
      </c>
      <c r="B117" s="99"/>
      <c r="C117" s="96"/>
      <c r="D117" s="96"/>
      <c r="E117" s="97"/>
      <c r="F117" s="98"/>
      <c r="G117" s="98"/>
      <c r="H117" s="98"/>
      <c r="I117" s="98"/>
      <c r="J117" s="98"/>
      <c r="K117" s="99"/>
      <c r="L117" s="102"/>
      <c r="M117" s="103">
        <f>IF(ISBLANK(H117),0,VLOOKUP(H117,Справочник!$A$4:$C$11,2,0))</f>
        <v>0</v>
      </c>
      <c r="N117" s="103">
        <f>IF(ISBLANK(I117),0,VLOOKUP(I117,Справочник!$A$4:$C$11,2,0))</f>
        <v>0</v>
      </c>
      <c r="O117" s="103">
        <f>IF(ISBLANK(F117),0,VLOOKUP(F117,Справочник!$A$4:$C$11,2,0))</f>
        <v>0</v>
      </c>
      <c r="P117" s="103">
        <f>IF(ISBLANK(G117),0,VLOOKUP(G117,Справочник!$A$1:$C$11,2,0))</f>
        <v>0</v>
      </c>
      <c r="Q117" s="103">
        <f>IF(ISBLANK(H117),0,VLOOKUP(H117,Справочник!$A$4:$C$11,3,0))</f>
        <v>0</v>
      </c>
      <c r="R117" s="103">
        <f>IF(ISBLANK(I117),0,VLOOKUP(I117,Справочник!$A$4:$C$11,3,0))</f>
        <v>0</v>
      </c>
      <c r="S117" s="103">
        <f>IF(ISBLANK(F117),0,VLOOKUP(F117,Справочник!$A$4:$C$11,3,0))</f>
        <v>0</v>
      </c>
      <c r="T117" s="103">
        <f>IF(ISBLANK(G117),0,VLOOKUP(G117,Справочник!$A$4:$C$11,3,0))</f>
        <v>0</v>
      </c>
      <c r="U117" s="103">
        <f>IF(ISBLANK(J117),0,VLOOKUP(J117,Справочник!$E$4:$F$7,2,0))</f>
        <v>0</v>
      </c>
      <c r="V117" s="104">
        <f t="shared" si="2"/>
        <v>0</v>
      </c>
      <c r="W117" s="104">
        <f t="shared" si="3"/>
        <v>0</v>
      </c>
      <c r="X117" s="102"/>
      <c r="Y117" s="101"/>
      <c r="Z117" s="101"/>
      <c r="AA117" s="101"/>
      <c r="AB117" s="101"/>
    </row>
    <row r="118" spans="1:28" x14ac:dyDescent="0.45">
      <c r="A118" s="21">
        <v>109</v>
      </c>
      <c r="B118" s="99"/>
      <c r="C118" s="96"/>
      <c r="D118" s="96"/>
      <c r="E118" s="97"/>
      <c r="F118" s="98"/>
      <c r="G118" s="98"/>
      <c r="H118" s="98"/>
      <c r="I118" s="98"/>
      <c r="J118" s="98"/>
      <c r="K118" s="99"/>
      <c r="L118" s="102"/>
      <c r="M118" s="103">
        <f>IF(ISBLANK(H118),0,VLOOKUP(H118,Справочник!$A$4:$C$11,2,0))</f>
        <v>0</v>
      </c>
      <c r="N118" s="103">
        <f>IF(ISBLANK(I118),0,VLOOKUP(I118,Справочник!$A$4:$C$11,2,0))</f>
        <v>0</v>
      </c>
      <c r="O118" s="103">
        <f>IF(ISBLANK(F118),0,VLOOKUP(F118,Справочник!$A$4:$C$11,2,0))</f>
        <v>0</v>
      </c>
      <c r="P118" s="103">
        <f>IF(ISBLANK(G118),0,VLOOKUP(G118,Справочник!$A$1:$C$11,2,0))</f>
        <v>0</v>
      </c>
      <c r="Q118" s="103">
        <f>IF(ISBLANK(H118),0,VLOOKUP(H118,Справочник!$A$4:$C$11,3,0))</f>
        <v>0</v>
      </c>
      <c r="R118" s="103">
        <f>IF(ISBLANK(I118),0,VLOOKUP(I118,Справочник!$A$4:$C$11,3,0))</f>
        <v>0</v>
      </c>
      <c r="S118" s="103">
        <f>IF(ISBLANK(F118),0,VLOOKUP(F118,Справочник!$A$4:$C$11,3,0))</f>
        <v>0</v>
      </c>
      <c r="T118" s="103">
        <f>IF(ISBLANK(G118),0,VLOOKUP(G118,Справочник!$A$4:$C$11,3,0))</f>
        <v>0</v>
      </c>
      <c r="U118" s="103">
        <f>IF(ISBLANK(J118),0,VLOOKUP(J118,Справочник!$E$4:$F$7,2,0))</f>
        <v>0</v>
      </c>
      <c r="V118" s="104">
        <f t="shared" si="2"/>
        <v>0</v>
      </c>
      <c r="W118" s="104">
        <f t="shared" si="3"/>
        <v>0</v>
      </c>
      <c r="X118" s="102"/>
      <c r="Y118" s="101"/>
      <c r="Z118" s="101"/>
      <c r="AA118" s="101"/>
      <c r="AB118" s="101"/>
    </row>
    <row r="119" spans="1:28" x14ac:dyDescent="0.45">
      <c r="A119" s="21">
        <v>110</v>
      </c>
      <c r="B119" s="99"/>
      <c r="C119" s="96"/>
      <c r="D119" s="96"/>
      <c r="E119" s="97"/>
      <c r="F119" s="98"/>
      <c r="G119" s="98"/>
      <c r="H119" s="98"/>
      <c r="I119" s="98"/>
      <c r="J119" s="98"/>
      <c r="K119" s="99"/>
      <c r="L119" s="102"/>
      <c r="M119" s="103">
        <f>IF(ISBLANK(H119),0,VLOOKUP(H119,Справочник!$A$4:$C$11,2,0))</f>
        <v>0</v>
      </c>
      <c r="N119" s="103">
        <f>IF(ISBLANK(I119),0,VLOOKUP(I119,Справочник!$A$4:$C$11,2,0))</f>
        <v>0</v>
      </c>
      <c r="O119" s="103">
        <f>IF(ISBLANK(F119),0,VLOOKUP(F119,Справочник!$A$4:$C$11,2,0))</f>
        <v>0</v>
      </c>
      <c r="P119" s="103">
        <f>IF(ISBLANK(G119),0,VLOOKUP(G119,Справочник!$A$1:$C$11,2,0))</f>
        <v>0</v>
      </c>
      <c r="Q119" s="103">
        <f>IF(ISBLANK(H119),0,VLOOKUP(H119,Справочник!$A$4:$C$11,3,0))</f>
        <v>0</v>
      </c>
      <c r="R119" s="103">
        <f>IF(ISBLANK(I119),0,VLOOKUP(I119,Справочник!$A$4:$C$11,3,0))</f>
        <v>0</v>
      </c>
      <c r="S119" s="103">
        <f>IF(ISBLANK(F119),0,VLOOKUP(F119,Справочник!$A$4:$C$11,3,0))</f>
        <v>0</v>
      </c>
      <c r="T119" s="103">
        <f>IF(ISBLANK(G119),0,VLOOKUP(G119,Справочник!$A$4:$C$11,3,0))</f>
        <v>0</v>
      </c>
      <c r="U119" s="103">
        <f>IF(ISBLANK(J119),0,VLOOKUP(J119,Справочник!$E$4:$F$7,2,0))</f>
        <v>0</v>
      </c>
      <c r="V119" s="104">
        <f t="shared" si="2"/>
        <v>0</v>
      </c>
      <c r="W119" s="104">
        <f t="shared" si="3"/>
        <v>0</v>
      </c>
      <c r="X119" s="102"/>
      <c r="Y119" s="101"/>
      <c r="Z119" s="101"/>
      <c r="AA119" s="101"/>
      <c r="AB119" s="101"/>
    </row>
    <row r="120" spans="1:28" x14ac:dyDescent="0.45">
      <c r="A120" s="23">
        <v>111</v>
      </c>
      <c r="B120" s="99"/>
      <c r="C120" s="96"/>
      <c r="D120" s="96"/>
      <c r="E120" s="97"/>
      <c r="F120" s="98"/>
      <c r="G120" s="98"/>
      <c r="H120" s="98"/>
      <c r="I120" s="98"/>
      <c r="J120" s="98"/>
      <c r="K120" s="99"/>
      <c r="L120" s="102"/>
      <c r="M120" s="103">
        <f>IF(ISBLANK(H120),0,VLOOKUP(H120,Справочник!$A$4:$C$11,2,0))</f>
        <v>0</v>
      </c>
      <c r="N120" s="103">
        <f>IF(ISBLANK(I120),0,VLOOKUP(I120,Справочник!$A$4:$C$11,2,0))</f>
        <v>0</v>
      </c>
      <c r="O120" s="103">
        <f>IF(ISBLANK(F120),0,VLOOKUP(F120,Справочник!$A$4:$C$11,2,0))</f>
        <v>0</v>
      </c>
      <c r="P120" s="103">
        <f>IF(ISBLANK(G120),0,VLOOKUP(G120,Справочник!$A$1:$C$11,2,0))</f>
        <v>0</v>
      </c>
      <c r="Q120" s="103">
        <f>IF(ISBLANK(H120),0,VLOOKUP(H120,Справочник!$A$4:$C$11,3,0))</f>
        <v>0</v>
      </c>
      <c r="R120" s="103">
        <f>IF(ISBLANK(I120),0,VLOOKUP(I120,Справочник!$A$4:$C$11,3,0))</f>
        <v>0</v>
      </c>
      <c r="S120" s="103">
        <f>IF(ISBLANK(F120),0,VLOOKUP(F120,Справочник!$A$4:$C$11,3,0))</f>
        <v>0</v>
      </c>
      <c r="T120" s="103">
        <f>IF(ISBLANK(G120),0,VLOOKUP(G120,Справочник!$A$4:$C$11,3,0))</f>
        <v>0</v>
      </c>
      <c r="U120" s="103">
        <f>IF(ISBLANK(J120),0,VLOOKUP(J120,Справочник!$E$4:$F$7,2,0))</f>
        <v>0</v>
      </c>
      <c r="V120" s="104">
        <f t="shared" si="2"/>
        <v>0</v>
      </c>
      <c r="W120" s="104">
        <f t="shared" si="3"/>
        <v>0</v>
      </c>
      <c r="X120" s="102"/>
      <c r="Y120" s="101"/>
      <c r="Z120" s="101"/>
      <c r="AA120" s="101"/>
      <c r="AB120" s="101"/>
    </row>
    <row r="121" spans="1:28" x14ac:dyDescent="0.45">
      <c r="A121" s="21">
        <v>112</v>
      </c>
      <c r="B121" s="99"/>
      <c r="C121" s="96"/>
      <c r="D121" s="96"/>
      <c r="E121" s="97"/>
      <c r="F121" s="98"/>
      <c r="G121" s="98"/>
      <c r="H121" s="98"/>
      <c r="I121" s="98"/>
      <c r="J121" s="98"/>
      <c r="K121" s="99"/>
      <c r="L121" s="102"/>
      <c r="M121" s="103">
        <f>IF(ISBLANK(H121),0,VLOOKUP(H121,Справочник!$A$4:$C$11,2,0))</f>
        <v>0</v>
      </c>
      <c r="N121" s="103">
        <f>IF(ISBLANK(I121),0,VLOOKUP(I121,Справочник!$A$4:$C$11,2,0))</f>
        <v>0</v>
      </c>
      <c r="O121" s="103">
        <f>IF(ISBLANK(F121),0,VLOOKUP(F121,Справочник!$A$4:$C$11,2,0))</f>
        <v>0</v>
      </c>
      <c r="P121" s="103">
        <f>IF(ISBLANK(G121),0,VLOOKUP(G121,Справочник!$A$1:$C$11,2,0))</f>
        <v>0</v>
      </c>
      <c r="Q121" s="103">
        <f>IF(ISBLANK(H121),0,VLOOKUP(H121,Справочник!$A$4:$C$11,3,0))</f>
        <v>0</v>
      </c>
      <c r="R121" s="103">
        <f>IF(ISBLANK(I121),0,VLOOKUP(I121,Справочник!$A$4:$C$11,3,0))</f>
        <v>0</v>
      </c>
      <c r="S121" s="103">
        <f>IF(ISBLANK(F121),0,VLOOKUP(F121,Справочник!$A$4:$C$11,3,0))</f>
        <v>0</v>
      </c>
      <c r="T121" s="103">
        <f>IF(ISBLANK(G121),0,VLOOKUP(G121,Справочник!$A$4:$C$11,3,0))</f>
        <v>0</v>
      </c>
      <c r="U121" s="103">
        <f>IF(ISBLANK(J121),0,VLOOKUP(J121,Справочник!$E$4:$F$7,2,0))</f>
        <v>0</v>
      </c>
      <c r="V121" s="104">
        <f t="shared" si="2"/>
        <v>0</v>
      </c>
      <c r="W121" s="104">
        <f t="shared" si="3"/>
        <v>0</v>
      </c>
      <c r="X121" s="102"/>
      <c r="Y121" s="101"/>
      <c r="Z121" s="101"/>
      <c r="AA121" s="101"/>
      <c r="AB121" s="101"/>
    </row>
    <row r="122" spans="1:28" x14ac:dyDescent="0.45">
      <c r="A122" s="21">
        <v>113</v>
      </c>
      <c r="B122" s="99"/>
      <c r="C122" s="96"/>
      <c r="D122" s="96"/>
      <c r="E122" s="97"/>
      <c r="F122" s="98"/>
      <c r="G122" s="98"/>
      <c r="H122" s="98"/>
      <c r="I122" s="98"/>
      <c r="J122" s="98"/>
      <c r="K122" s="99"/>
      <c r="L122" s="102"/>
      <c r="M122" s="103">
        <f>IF(ISBLANK(H122),0,VLOOKUP(H122,Справочник!$A$4:$C$11,2,0))</f>
        <v>0</v>
      </c>
      <c r="N122" s="103">
        <f>IF(ISBLANK(I122),0,VLOOKUP(I122,Справочник!$A$4:$C$11,2,0))</f>
        <v>0</v>
      </c>
      <c r="O122" s="103">
        <f>IF(ISBLANK(F122),0,VLOOKUP(F122,Справочник!$A$4:$C$11,2,0))</f>
        <v>0</v>
      </c>
      <c r="P122" s="103">
        <f>IF(ISBLANK(G122),0,VLOOKUP(G122,Справочник!$A$1:$C$11,2,0))</f>
        <v>0</v>
      </c>
      <c r="Q122" s="103">
        <f>IF(ISBLANK(H122),0,VLOOKUP(H122,Справочник!$A$4:$C$11,3,0))</f>
        <v>0</v>
      </c>
      <c r="R122" s="103">
        <f>IF(ISBLANK(I122),0,VLOOKUP(I122,Справочник!$A$4:$C$11,3,0))</f>
        <v>0</v>
      </c>
      <c r="S122" s="103">
        <f>IF(ISBLANK(F122),0,VLOOKUP(F122,Справочник!$A$4:$C$11,3,0))</f>
        <v>0</v>
      </c>
      <c r="T122" s="103">
        <f>IF(ISBLANK(G122),0,VLOOKUP(G122,Справочник!$A$4:$C$11,3,0))</f>
        <v>0</v>
      </c>
      <c r="U122" s="103">
        <f>IF(ISBLANK(J122),0,VLOOKUP(J122,Справочник!$E$4:$F$7,2,0))</f>
        <v>0</v>
      </c>
      <c r="V122" s="104">
        <f t="shared" si="2"/>
        <v>0</v>
      </c>
      <c r="W122" s="104">
        <f t="shared" si="3"/>
        <v>0</v>
      </c>
      <c r="X122" s="102"/>
      <c r="Y122" s="101"/>
      <c r="Z122" s="101"/>
      <c r="AA122" s="101"/>
      <c r="AB122" s="101"/>
    </row>
    <row r="123" spans="1:28" x14ac:dyDescent="0.45">
      <c r="A123" s="23">
        <v>114</v>
      </c>
      <c r="B123" s="99"/>
      <c r="C123" s="96"/>
      <c r="D123" s="96"/>
      <c r="E123" s="97"/>
      <c r="F123" s="98"/>
      <c r="G123" s="98"/>
      <c r="H123" s="98"/>
      <c r="I123" s="98"/>
      <c r="J123" s="98"/>
      <c r="K123" s="99"/>
      <c r="L123" s="102"/>
      <c r="M123" s="103">
        <f>IF(ISBLANK(H123),0,VLOOKUP(H123,Справочник!$A$4:$C$11,2,0))</f>
        <v>0</v>
      </c>
      <c r="N123" s="103">
        <f>IF(ISBLANK(I123),0,VLOOKUP(I123,Справочник!$A$4:$C$11,2,0))</f>
        <v>0</v>
      </c>
      <c r="O123" s="103">
        <f>IF(ISBLANK(F123),0,VLOOKUP(F123,Справочник!$A$4:$C$11,2,0))</f>
        <v>0</v>
      </c>
      <c r="P123" s="103">
        <f>IF(ISBLANK(G123),0,VLOOKUP(G123,Справочник!$A$1:$C$11,2,0))</f>
        <v>0</v>
      </c>
      <c r="Q123" s="103">
        <f>IF(ISBLANK(H123),0,VLOOKUP(H123,Справочник!$A$4:$C$11,3,0))</f>
        <v>0</v>
      </c>
      <c r="R123" s="103">
        <f>IF(ISBLANK(I123),0,VLOOKUP(I123,Справочник!$A$4:$C$11,3,0))</f>
        <v>0</v>
      </c>
      <c r="S123" s="103">
        <f>IF(ISBLANK(F123),0,VLOOKUP(F123,Справочник!$A$4:$C$11,3,0))</f>
        <v>0</v>
      </c>
      <c r="T123" s="103">
        <f>IF(ISBLANK(G123),0,VLOOKUP(G123,Справочник!$A$4:$C$11,3,0))</f>
        <v>0</v>
      </c>
      <c r="U123" s="103">
        <f>IF(ISBLANK(J123),0,VLOOKUP(J123,Справочник!$E$4:$F$7,2,0))</f>
        <v>0</v>
      </c>
      <c r="V123" s="104">
        <f t="shared" si="2"/>
        <v>0</v>
      </c>
      <c r="W123" s="104">
        <f t="shared" si="3"/>
        <v>0</v>
      </c>
      <c r="X123" s="102"/>
      <c r="Y123" s="101"/>
      <c r="Z123" s="101"/>
      <c r="AA123" s="101"/>
      <c r="AB123" s="101"/>
    </row>
    <row r="124" spans="1:28" x14ac:dyDescent="0.45">
      <c r="A124" s="21">
        <v>115</v>
      </c>
      <c r="B124" s="99"/>
      <c r="C124" s="96"/>
      <c r="D124" s="96"/>
      <c r="E124" s="97"/>
      <c r="F124" s="98"/>
      <c r="G124" s="98"/>
      <c r="H124" s="98"/>
      <c r="I124" s="98"/>
      <c r="J124" s="98"/>
      <c r="K124" s="99"/>
      <c r="L124" s="102"/>
      <c r="M124" s="103">
        <f>IF(ISBLANK(H124),0,VLOOKUP(H124,Справочник!$A$4:$C$11,2,0))</f>
        <v>0</v>
      </c>
      <c r="N124" s="103">
        <f>IF(ISBLANK(I124),0,VLOOKUP(I124,Справочник!$A$4:$C$11,2,0))</f>
        <v>0</v>
      </c>
      <c r="O124" s="103">
        <f>IF(ISBLANK(F124),0,VLOOKUP(F124,Справочник!$A$4:$C$11,2,0))</f>
        <v>0</v>
      </c>
      <c r="P124" s="103">
        <f>IF(ISBLANK(G124),0,VLOOKUP(G124,Справочник!$A$1:$C$11,2,0))</f>
        <v>0</v>
      </c>
      <c r="Q124" s="103">
        <f>IF(ISBLANK(H124),0,VLOOKUP(H124,Справочник!$A$4:$C$11,3,0))</f>
        <v>0</v>
      </c>
      <c r="R124" s="103">
        <f>IF(ISBLANK(I124),0,VLOOKUP(I124,Справочник!$A$4:$C$11,3,0))</f>
        <v>0</v>
      </c>
      <c r="S124" s="103">
        <f>IF(ISBLANK(F124),0,VLOOKUP(F124,Справочник!$A$4:$C$11,3,0))</f>
        <v>0</v>
      </c>
      <c r="T124" s="103">
        <f>IF(ISBLANK(G124),0,VLOOKUP(G124,Справочник!$A$4:$C$11,3,0))</f>
        <v>0</v>
      </c>
      <c r="U124" s="103">
        <f>IF(ISBLANK(J124),0,VLOOKUP(J124,Справочник!$E$4:$F$7,2,0))</f>
        <v>0</v>
      </c>
      <c r="V124" s="104">
        <f t="shared" si="2"/>
        <v>0</v>
      </c>
      <c r="W124" s="104">
        <f t="shared" si="3"/>
        <v>0</v>
      </c>
      <c r="X124" s="102"/>
      <c r="Y124" s="101"/>
      <c r="Z124" s="101"/>
      <c r="AA124" s="101"/>
      <c r="AB124" s="101"/>
    </row>
    <row r="125" spans="1:28" x14ac:dyDescent="0.45">
      <c r="A125" s="21">
        <v>116</v>
      </c>
      <c r="B125" s="99"/>
      <c r="C125" s="96"/>
      <c r="D125" s="96"/>
      <c r="E125" s="97"/>
      <c r="F125" s="98"/>
      <c r="G125" s="98"/>
      <c r="H125" s="98"/>
      <c r="I125" s="98"/>
      <c r="J125" s="98"/>
      <c r="K125" s="99"/>
      <c r="L125" s="102"/>
      <c r="M125" s="103">
        <f>IF(ISBLANK(H125),0,VLOOKUP(H125,Справочник!$A$4:$C$11,2,0))</f>
        <v>0</v>
      </c>
      <c r="N125" s="103">
        <f>IF(ISBLANK(I125),0,VLOOKUP(I125,Справочник!$A$4:$C$11,2,0))</f>
        <v>0</v>
      </c>
      <c r="O125" s="103">
        <f>IF(ISBLANK(F125),0,VLOOKUP(F125,Справочник!$A$4:$C$11,2,0))</f>
        <v>0</v>
      </c>
      <c r="P125" s="103">
        <f>IF(ISBLANK(G125),0,VLOOKUP(G125,Справочник!$A$1:$C$11,2,0))</f>
        <v>0</v>
      </c>
      <c r="Q125" s="103">
        <f>IF(ISBLANK(H125),0,VLOOKUP(H125,Справочник!$A$4:$C$11,3,0))</f>
        <v>0</v>
      </c>
      <c r="R125" s="103">
        <f>IF(ISBLANK(I125),0,VLOOKUP(I125,Справочник!$A$4:$C$11,3,0))</f>
        <v>0</v>
      </c>
      <c r="S125" s="103">
        <f>IF(ISBLANK(F125),0,VLOOKUP(F125,Справочник!$A$4:$C$11,3,0))</f>
        <v>0</v>
      </c>
      <c r="T125" s="103">
        <f>IF(ISBLANK(G125),0,VLOOKUP(G125,Справочник!$A$4:$C$11,3,0))</f>
        <v>0</v>
      </c>
      <c r="U125" s="103">
        <f>IF(ISBLANK(J125),0,VLOOKUP(J125,Справочник!$E$4:$F$7,2,0))</f>
        <v>0</v>
      </c>
      <c r="V125" s="104">
        <f t="shared" si="2"/>
        <v>0</v>
      </c>
      <c r="W125" s="104">
        <f t="shared" si="3"/>
        <v>0</v>
      </c>
      <c r="X125" s="102"/>
      <c r="Y125" s="101"/>
      <c r="Z125" s="101"/>
      <c r="AA125" s="101"/>
      <c r="AB125" s="101"/>
    </row>
    <row r="126" spans="1:28" x14ac:dyDescent="0.45">
      <c r="A126" s="23">
        <v>117</v>
      </c>
      <c r="B126" s="99"/>
      <c r="C126" s="96"/>
      <c r="D126" s="96"/>
      <c r="E126" s="97"/>
      <c r="F126" s="98"/>
      <c r="G126" s="98"/>
      <c r="H126" s="98"/>
      <c r="I126" s="98"/>
      <c r="J126" s="98"/>
      <c r="K126" s="99"/>
      <c r="L126" s="102"/>
      <c r="M126" s="103">
        <f>IF(ISBLANK(H126),0,VLOOKUP(H126,Справочник!$A$4:$C$11,2,0))</f>
        <v>0</v>
      </c>
      <c r="N126" s="103">
        <f>IF(ISBLANK(I126),0,VLOOKUP(I126,Справочник!$A$4:$C$11,2,0))</f>
        <v>0</v>
      </c>
      <c r="O126" s="103">
        <f>IF(ISBLANK(F126),0,VLOOKUP(F126,Справочник!$A$4:$C$11,2,0))</f>
        <v>0</v>
      </c>
      <c r="P126" s="103">
        <f>IF(ISBLANK(G126),0,VLOOKUP(G126,Справочник!$A$1:$C$11,2,0))</f>
        <v>0</v>
      </c>
      <c r="Q126" s="103">
        <f>IF(ISBLANK(H126),0,VLOOKUP(H126,Справочник!$A$4:$C$11,3,0))</f>
        <v>0</v>
      </c>
      <c r="R126" s="103">
        <f>IF(ISBLANK(I126),0,VLOOKUP(I126,Справочник!$A$4:$C$11,3,0))</f>
        <v>0</v>
      </c>
      <c r="S126" s="103">
        <f>IF(ISBLANK(F126),0,VLOOKUP(F126,Справочник!$A$4:$C$11,3,0))</f>
        <v>0</v>
      </c>
      <c r="T126" s="103">
        <f>IF(ISBLANK(G126),0,VLOOKUP(G126,Справочник!$A$4:$C$11,3,0))</f>
        <v>0</v>
      </c>
      <c r="U126" s="103">
        <f>IF(ISBLANK(J126),0,VLOOKUP(J126,Справочник!$E$4:$F$7,2,0))</f>
        <v>0</v>
      </c>
      <c r="V126" s="104">
        <f t="shared" si="2"/>
        <v>0</v>
      </c>
      <c r="W126" s="104">
        <f t="shared" si="3"/>
        <v>0</v>
      </c>
      <c r="X126" s="102"/>
      <c r="Y126" s="101"/>
      <c r="Z126" s="101"/>
      <c r="AA126" s="101"/>
      <c r="AB126" s="101"/>
    </row>
    <row r="127" spans="1:28" x14ac:dyDescent="0.45">
      <c r="A127" s="21">
        <v>118</v>
      </c>
      <c r="B127" s="99"/>
      <c r="C127" s="96"/>
      <c r="D127" s="96"/>
      <c r="E127" s="97"/>
      <c r="F127" s="98"/>
      <c r="G127" s="98"/>
      <c r="H127" s="98"/>
      <c r="I127" s="98"/>
      <c r="J127" s="98"/>
      <c r="K127" s="99"/>
      <c r="L127" s="102"/>
      <c r="M127" s="103">
        <f>IF(ISBLANK(H127),0,VLOOKUP(H127,Справочник!$A$4:$C$11,2,0))</f>
        <v>0</v>
      </c>
      <c r="N127" s="103">
        <f>IF(ISBLANK(I127),0,VLOOKUP(I127,Справочник!$A$4:$C$11,2,0))</f>
        <v>0</v>
      </c>
      <c r="O127" s="103">
        <f>IF(ISBLANK(F127),0,VLOOKUP(F127,Справочник!$A$4:$C$11,2,0))</f>
        <v>0</v>
      </c>
      <c r="P127" s="103">
        <f>IF(ISBLANK(G127),0,VLOOKUP(G127,Справочник!$A$1:$C$11,2,0))</f>
        <v>0</v>
      </c>
      <c r="Q127" s="103">
        <f>IF(ISBLANK(H127),0,VLOOKUP(H127,Справочник!$A$4:$C$11,3,0))</f>
        <v>0</v>
      </c>
      <c r="R127" s="103">
        <f>IF(ISBLANK(I127),0,VLOOKUP(I127,Справочник!$A$4:$C$11,3,0))</f>
        <v>0</v>
      </c>
      <c r="S127" s="103">
        <f>IF(ISBLANK(F127),0,VLOOKUP(F127,Справочник!$A$4:$C$11,3,0))</f>
        <v>0</v>
      </c>
      <c r="T127" s="103">
        <f>IF(ISBLANK(G127),0,VLOOKUP(G127,Справочник!$A$4:$C$11,3,0))</f>
        <v>0</v>
      </c>
      <c r="U127" s="103">
        <f>IF(ISBLANK(J127),0,VLOOKUP(J127,Справочник!$E$4:$F$7,2,0))</f>
        <v>0</v>
      </c>
      <c r="V127" s="104">
        <f t="shared" si="2"/>
        <v>0</v>
      </c>
      <c r="W127" s="104">
        <f t="shared" si="3"/>
        <v>0</v>
      </c>
      <c r="X127" s="102"/>
      <c r="Y127" s="101"/>
      <c r="Z127" s="101"/>
      <c r="AA127" s="101"/>
      <c r="AB127" s="101"/>
    </row>
    <row r="128" spans="1:28" x14ac:dyDescent="0.45">
      <c r="A128" s="21">
        <v>119</v>
      </c>
      <c r="B128" s="99"/>
      <c r="C128" s="96"/>
      <c r="D128" s="96"/>
      <c r="E128" s="97"/>
      <c r="F128" s="98"/>
      <c r="G128" s="98"/>
      <c r="H128" s="98"/>
      <c r="I128" s="98"/>
      <c r="J128" s="98"/>
      <c r="K128" s="99"/>
      <c r="L128" s="102"/>
      <c r="M128" s="103">
        <f>IF(ISBLANK(H128),0,VLOOKUP(H128,Справочник!$A$4:$C$11,2,0))</f>
        <v>0</v>
      </c>
      <c r="N128" s="103">
        <f>IF(ISBLANK(I128),0,VLOOKUP(I128,Справочник!$A$4:$C$11,2,0))</f>
        <v>0</v>
      </c>
      <c r="O128" s="103">
        <f>IF(ISBLANK(F128),0,VLOOKUP(F128,Справочник!$A$4:$C$11,2,0))</f>
        <v>0</v>
      </c>
      <c r="P128" s="103">
        <f>IF(ISBLANK(G128),0,VLOOKUP(G128,Справочник!$A$1:$C$11,2,0))</f>
        <v>0</v>
      </c>
      <c r="Q128" s="103">
        <f>IF(ISBLANK(H128),0,VLOOKUP(H128,Справочник!$A$4:$C$11,3,0))</f>
        <v>0</v>
      </c>
      <c r="R128" s="103">
        <f>IF(ISBLANK(I128),0,VLOOKUP(I128,Справочник!$A$4:$C$11,3,0))</f>
        <v>0</v>
      </c>
      <c r="S128" s="103">
        <f>IF(ISBLANK(F128),0,VLOOKUP(F128,Справочник!$A$4:$C$11,3,0))</f>
        <v>0</v>
      </c>
      <c r="T128" s="103">
        <f>IF(ISBLANK(G128),0,VLOOKUP(G128,Справочник!$A$4:$C$11,3,0))</f>
        <v>0</v>
      </c>
      <c r="U128" s="103">
        <f>IF(ISBLANK(J128),0,VLOOKUP(J128,Справочник!$E$4:$F$7,2,0))</f>
        <v>0</v>
      </c>
      <c r="V128" s="104">
        <f t="shared" si="2"/>
        <v>0</v>
      </c>
      <c r="W128" s="104">
        <f t="shared" si="3"/>
        <v>0</v>
      </c>
      <c r="X128" s="102"/>
      <c r="Y128" s="101"/>
      <c r="Z128" s="101"/>
      <c r="AA128" s="101"/>
      <c r="AB128" s="101"/>
    </row>
    <row r="129" spans="1:28" x14ac:dyDescent="0.45">
      <c r="A129" s="23">
        <v>120</v>
      </c>
      <c r="B129" s="99"/>
      <c r="C129" s="96"/>
      <c r="D129" s="96"/>
      <c r="E129" s="97"/>
      <c r="F129" s="98"/>
      <c r="G129" s="98"/>
      <c r="H129" s="98"/>
      <c r="I129" s="98"/>
      <c r="J129" s="98"/>
      <c r="K129" s="99"/>
      <c r="L129" s="102"/>
      <c r="M129" s="103">
        <f>IF(ISBLANK(H129),0,VLOOKUP(H129,Справочник!$A$4:$C$11,2,0))</f>
        <v>0</v>
      </c>
      <c r="N129" s="103">
        <f>IF(ISBLANK(I129),0,VLOOKUP(I129,Справочник!$A$4:$C$11,2,0))</f>
        <v>0</v>
      </c>
      <c r="O129" s="103">
        <f>IF(ISBLANK(F129),0,VLOOKUP(F129,Справочник!$A$4:$C$11,2,0))</f>
        <v>0</v>
      </c>
      <c r="P129" s="103">
        <f>IF(ISBLANK(G129),0,VLOOKUP(G129,Справочник!$A$1:$C$11,2,0))</f>
        <v>0</v>
      </c>
      <c r="Q129" s="103">
        <f>IF(ISBLANK(H129),0,VLOOKUP(H129,Справочник!$A$4:$C$11,3,0))</f>
        <v>0</v>
      </c>
      <c r="R129" s="103">
        <f>IF(ISBLANK(I129),0,VLOOKUP(I129,Справочник!$A$4:$C$11,3,0))</f>
        <v>0</v>
      </c>
      <c r="S129" s="103">
        <f>IF(ISBLANK(F129),0,VLOOKUP(F129,Справочник!$A$4:$C$11,3,0))</f>
        <v>0</v>
      </c>
      <c r="T129" s="103">
        <f>IF(ISBLANK(G129),0,VLOOKUP(G129,Справочник!$A$4:$C$11,3,0))</f>
        <v>0</v>
      </c>
      <c r="U129" s="103">
        <f>IF(ISBLANK(J129),0,VLOOKUP(J129,Справочник!$E$4:$F$7,2,0))</f>
        <v>0</v>
      </c>
      <c r="V129" s="104">
        <f t="shared" si="2"/>
        <v>0</v>
      </c>
      <c r="W129" s="104">
        <f t="shared" si="3"/>
        <v>0</v>
      </c>
      <c r="X129" s="102"/>
      <c r="Y129" s="101"/>
      <c r="Z129" s="101"/>
      <c r="AA129" s="101"/>
      <c r="AB129" s="101"/>
    </row>
    <row r="130" spans="1:28" x14ac:dyDescent="0.45">
      <c r="A130" s="21">
        <v>121</v>
      </c>
      <c r="B130" s="99"/>
      <c r="C130" s="96"/>
      <c r="D130" s="96"/>
      <c r="E130" s="97"/>
      <c r="F130" s="98"/>
      <c r="G130" s="98"/>
      <c r="H130" s="98"/>
      <c r="I130" s="98"/>
      <c r="J130" s="98"/>
      <c r="K130" s="99"/>
      <c r="L130" s="102"/>
      <c r="M130" s="103">
        <f>IF(ISBLANK(H130),0,VLOOKUP(H130,Справочник!$A$4:$C$11,2,0))</f>
        <v>0</v>
      </c>
      <c r="N130" s="103">
        <f>IF(ISBLANK(I130),0,VLOOKUP(I130,Справочник!$A$4:$C$11,2,0))</f>
        <v>0</v>
      </c>
      <c r="O130" s="103">
        <f>IF(ISBLANK(F130),0,VLOOKUP(F130,Справочник!$A$4:$C$11,2,0))</f>
        <v>0</v>
      </c>
      <c r="P130" s="103">
        <f>IF(ISBLANK(G130),0,VLOOKUP(G130,Справочник!$A$1:$C$11,2,0))</f>
        <v>0</v>
      </c>
      <c r="Q130" s="103">
        <f>IF(ISBLANK(H130),0,VLOOKUP(H130,Справочник!$A$4:$C$11,3,0))</f>
        <v>0</v>
      </c>
      <c r="R130" s="103">
        <f>IF(ISBLANK(I130),0,VLOOKUP(I130,Справочник!$A$4:$C$11,3,0))</f>
        <v>0</v>
      </c>
      <c r="S130" s="103">
        <f>IF(ISBLANK(F130),0,VLOOKUP(F130,Справочник!$A$4:$C$11,3,0))</f>
        <v>0</v>
      </c>
      <c r="T130" s="103">
        <f>IF(ISBLANK(G130),0,VLOOKUP(G130,Справочник!$A$4:$C$11,3,0))</f>
        <v>0</v>
      </c>
      <c r="U130" s="103">
        <f>IF(ISBLANK(J130),0,VLOOKUP(J130,Справочник!$E$4:$F$7,2,0))</f>
        <v>0</v>
      </c>
      <c r="V130" s="104">
        <f t="shared" si="2"/>
        <v>0</v>
      </c>
      <c r="W130" s="104">
        <f t="shared" si="3"/>
        <v>0</v>
      </c>
      <c r="X130" s="102"/>
      <c r="Y130" s="101"/>
      <c r="Z130" s="101"/>
      <c r="AA130" s="101"/>
      <c r="AB130" s="101"/>
    </row>
    <row r="131" spans="1:28" x14ac:dyDescent="0.45">
      <c r="A131" s="21">
        <v>122</v>
      </c>
      <c r="B131" s="99"/>
      <c r="C131" s="96"/>
      <c r="D131" s="96"/>
      <c r="E131" s="97"/>
      <c r="F131" s="98"/>
      <c r="G131" s="98"/>
      <c r="H131" s="98"/>
      <c r="I131" s="98"/>
      <c r="J131" s="98"/>
      <c r="K131" s="99"/>
      <c r="L131" s="102"/>
      <c r="M131" s="103">
        <f>IF(ISBLANK(H131),0,VLOOKUP(H131,Справочник!$A$4:$C$11,2,0))</f>
        <v>0</v>
      </c>
      <c r="N131" s="103">
        <f>IF(ISBLANK(I131),0,VLOOKUP(I131,Справочник!$A$4:$C$11,2,0))</f>
        <v>0</v>
      </c>
      <c r="O131" s="103">
        <f>IF(ISBLANK(F131),0,VLOOKUP(F131,Справочник!$A$4:$C$11,2,0))</f>
        <v>0</v>
      </c>
      <c r="P131" s="103">
        <f>IF(ISBLANK(G131),0,VLOOKUP(G131,Справочник!$A$1:$C$11,2,0))</f>
        <v>0</v>
      </c>
      <c r="Q131" s="103">
        <f>IF(ISBLANK(H131),0,VLOOKUP(H131,Справочник!$A$4:$C$11,3,0))</f>
        <v>0</v>
      </c>
      <c r="R131" s="103">
        <f>IF(ISBLANK(I131),0,VLOOKUP(I131,Справочник!$A$4:$C$11,3,0))</f>
        <v>0</v>
      </c>
      <c r="S131" s="103">
        <f>IF(ISBLANK(F131),0,VLOOKUP(F131,Справочник!$A$4:$C$11,3,0))</f>
        <v>0</v>
      </c>
      <c r="T131" s="103">
        <f>IF(ISBLANK(G131),0,VLOOKUP(G131,Справочник!$A$4:$C$11,3,0))</f>
        <v>0</v>
      </c>
      <c r="U131" s="103">
        <f>IF(ISBLANK(J131),0,VLOOKUP(J131,Справочник!$E$4:$F$7,2,0))</f>
        <v>0</v>
      </c>
      <c r="V131" s="104">
        <f t="shared" si="2"/>
        <v>0</v>
      </c>
      <c r="W131" s="104">
        <f t="shared" si="3"/>
        <v>0</v>
      </c>
      <c r="X131" s="102"/>
      <c r="Y131" s="101"/>
      <c r="Z131" s="101"/>
      <c r="AA131" s="101"/>
      <c r="AB131" s="101"/>
    </row>
    <row r="132" spans="1:28" x14ac:dyDescent="0.45">
      <c r="A132" s="23">
        <v>123</v>
      </c>
      <c r="B132" s="99"/>
      <c r="C132" s="96"/>
      <c r="D132" s="96"/>
      <c r="E132" s="97"/>
      <c r="F132" s="98"/>
      <c r="G132" s="98"/>
      <c r="H132" s="98"/>
      <c r="I132" s="98"/>
      <c r="J132" s="98"/>
      <c r="K132" s="99"/>
      <c r="L132" s="102"/>
      <c r="M132" s="103">
        <f>IF(ISBLANK(H132),0,VLOOKUP(H132,Справочник!$A$4:$C$11,2,0))</f>
        <v>0</v>
      </c>
      <c r="N132" s="103">
        <f>IF(ISBLANK(I132),0,VLOOKUP(I132,Справочник!$A$4:$C$11,2,0))</f>
        <v>0</v>
      </c>
      <c r="O132" s="103">
        <f>IF(ISBLANK(F132),0,VLOOKUP(F132,Справочник!$A$4:$C$11,2,0))</f>
        <v>0</v>
      </c>
      <c r="P132" s="103">
        <f>IF(ISBLANK(G132),0,VLOOKUP(G132,Справочник!$A$1:$C$11,2,0))</f>
        <v>0</v>
      </c>
      <c r="Q132" s="103">
        <f>IF(ISBLANK(H132),0,VLOOKUP(H132,Справочник!$A$4:$C$11,3,0))</f>
        <v>0</v>
      </c>
      <c r="R132" s="103">
        <f>IF(ISBLANK(I132),0,VLOOKUP(I132,Справочник!$A$4:$C$11,3,0))</f>
        <v>0</v>
      </c>
      <c r="S132" s="103">
        <f>IF(ISBLANK(F132),0,VLOOKUP(F132,Справочник!$A$4:$C$11,3,0))</f>
        <v>0</v>
      </c>
      <c r="T132" s="103">
        <f>IF(ISBLANK(G132),0,VLOOKUP(G132,Справочник!$A$4:$C$11,3,0))</f>
        <v>0</v>
      </c>
      <c r="U132" s="103">
        <f>IF(ISBLANK(J132),0,VLOOKUP(J132,Справочник!$E$4:$F$7,2,0))</f>
        <v>0</v>
      </c>
      <c r="V132" s="104">
        <f t="shared" ref="V132:V163" si="4">((C132*2+D132*2)/1000)*E132</f>
        <v>0</v>
      </c>
      <c r="W132" s="104">
        <f t="shared" ref="W132:W163" si="5">((C132+D132*2)/1000)*E132</f>
        <v>0</v>
      </c>
      <c r="X132" s="102"/>
      <c r="Y132" s="101"/>
      <c r="Z132" s="101"/>
      <c r="AA132" s="101"/>
      <c r="AB132" s="101"/>
    </row>
    <row r="133" spans="1:28" x14ac:dyDescent="0.45">
      <c r="A133" s="21">
        <v>124</v>
      </c>
      <c r="B133" s="99"/>
      <c r="C133" s="96"/>
      <c r="D133" s="96"/>
      <c r="E133" s="97"/>
      <c r="F133" s="98"/>
      <c r="G133" s="98"/>
      <c r="H133" s="98"/>
      <c r="I133" s="98"/>
      <c r="J133" s="98"/>
      <c r="K133" s="99"/>
      <c r="L133" s="102"/>
      <c r="M133" s="103">
        <f>IF(ISBLANK(H133),0,VLOOKUP(H133,Справочник!$A$4:$C$11,2,0))</f>
        <v>0</v>
      </c>
      <c r="N133" s="103">
        <f>IF(ISBLANK(I133),0,VLOOKUP(I133,Справочник!$A$4:$C$11,2,0))</f>
        <v>0</v>
      </c>
      <c r="O133" s="103">
        <f>IF(ISBLANK(F133),0,VLOOKUP(F133,Справочник!$A$4:$C$11,2,0))</f>
        <v>0</v>
      </c>
      <c r="P133" s="103">
        <f>IF(ISBLANK(G133),0,VLOOKUP(G133,Справочник!$A$1:$C$11,2,0))</f>
        <v>0</v>
      </c>
      <c r="Q133" s="103">
        <f>IF(ISBLANK(H133),0,VLOOKUP(H133,Справочник!$A$4:$C$11,3,0))</f>
        <v>0</v>
      </c>
      <c r="R133" s="103">
        <f>IF(ISBLANK(I133),0,VLOOKUP(I133,Справочник!$A$4:$C$11,3,0))</f>
        <v>0</v>
      </c>
      <c r="S133" s="103">
        <f>IF(ISBLANK(F133),0,VLOOKUP(F133,Справочник!$A$4:$C$11,3,0))</f>
        <v>0</v>
      </c>
      <c r="T133" s="103">
        <f>IF(ISBLANK(G133),0,VLOOKUP(G133,Справочник!$A$4:$C$11,3,0))</f>
        <v>0</v>
      </c>
      <c r="U133" s="103">
        <f>IF(ISBLANK(J133),0,VLOOKUP(J133,Справочник!$E$4:$F$7,2,0))</f>
        <v>0</v>
      </c>
      <c r="V133" s="104">
        <f t="shared" si="4"/>
        <v>0</v>
      </c>
      <c r="W133" s="104">
        <f t="shared" si="5"/>
        <v>0</v>
      </c>
      <c r="X133" s="102"/>
      <c r="Y133" s="101"/>
      <c r="Z133" s="101"/>
      <c r="AA133" s="101"/>
      <c r="AB133" s="101"/>
    </row>
    <row r="134" spans="1:28" x14ac:dyDescent="0.45">
      <c r="A134" s="21">
        <v>125</v>
      </c>
      <c r="B134" s="99"/>
      <c r="C134" s="96"/>
      <c r="D134" s="96"/>
      <c r="E134" s="97"/>
      <c r="F134" s="98"/>
      <c r="G134" s="98"/>
      <c r="H134" s="98"/>
      <c r="I134" s="98"/>
      <c r="J134" s="98"/>
      <c r="K134" s="99"/>
      <c r="L134" s="102"/>
      <c r="M134" s="103">
        <f>IF(ISBLANK(H134),0,VLOOKUP(H134,Справочник!$A$4:$C$11,2,0))</f>
        <v>0</v>
      </c>
      <c r="N134" s="103">
        <f>IF(ISBLANK(I134),0,VLOOKUP(I134,Справочник!$A$4:$C$11,2,0))</f>
        <v>0</v>
      </c>
      <c r="O134" s="103">
        <f>IF(ISBLANK(F134),0,VLOOKUP(F134,Справочник!$A$4:$C$11,2,0))</f>
        <v>0</v>
      </c>
      <c r="P134" s="103">
        <f>IF(ISBLANK(G134),0,VLOOKUP(G134,Справочник!$A$1:$C$11,2,0))</f>
        <v>0</v>
      </c>
      <c r="Q134" s="103">
        <f>IF(ISBLANK(H134),0,VLOOKUP(H134,Справочник!$A$4:$C$11,3,0))</f>
        <v>0</v>
      </c>
      <c r="R134" s="103">
        <f>IF(ISBLANK(I134),0,VLOOKUP(I134,Справочник!$A$4:$C$11,3,0))</f>
        <v>0</v>
      </c>
      <c r="S134" s="103">
        <f>IF(ISBLANK(F134),0,VLOOKUP(F134,Справочник!$A$4:$C$11,3,0))</f>
        <v>0</v>
      </c>
      <c r="T134" s="103">
        <f>IF(ISBLANK(G134),0,VLOOKUP(G134,Справочник!$A$4:$C$11,3,0))</f>
        <v>0</v>
      </c>
      <c r="U134" s="103">
        <f>IF(ISBLANK(J134),0,VLOOKUP(J134,Справочник!$E$4:$F$7,2,0))</f>
        <v>0</v>
      </c>
      <c r="V134" s="104">
        <f t="shared" si="4"/>
        <v>0</v>
      </c>
      <c r="W134" s="104">
        <f t="shared" si="5"/>
        <v>0</v>
      </c>
      <c r="X134" s="102"/>
      <c r="Y134" s="101"/>
      <c r="Z134" s="101"/>
      <c r="AA134" s="101"/>
      <c r="AB134" s="101"/>
    </row>
    <row r="135" spans="1:28" x14ac:dyDescent="0.45">
      <c r="A135" s="23">
        <v>126</v>
      </c>
      <c r="B135" s="99"/>
      <c r="C135" s="96"/>
      <c r="D135" s="96"/>
      <c r="E135" s="97"/>
      <c r="F135" s="98"/>
      <c r="G135" s="98"/>
      <c r="H135" s="98"/>
      <c r="I135" s="98"/>
      <c r="J135" s="98"/>
      <c r="K135" s="99"/>
      <c r="L135" s="102"/>
      <c r="M135" s="103">
        <f>IF(ISBLANK(H135),0,VLOOKUP(H135,Справочник!$A$4:$C$11,2,0))</f>
        <v>0</v>
      </c>
      <c r="N135" s="103">
        <f>IF(ISBLANK(I135),0,VLOOKUP(I135,Справочник!$A$4:$C$11,2,0))</f>
        <v>0</v>
      </c>
      <c r="O135" s="103">
        <f>IF(ISBLANK(F135),0,VLOOKUP(F135,Справочник!$A$4:$C$11,2,0))</f>
        <v>0</v>
      </c>
      <c r="P135" s="103">
        <f>IF(ISBLANK(G135),0,VLOOKUP(G135,Справочник!$A$1:$C$11,2,0))</f>
        <v>0</v>
      </c>
      <c r="Q135" s="103">
        <f>IF(ISBLANK(H135),0,VLOOKUP(H135,Справочник!$A$4:$C$11,3,0))</f>
        <v>0</v>
      </c>
      <c r="R135" s="103">
        <f>IF(ISBLANK(I135),0,VLOOKUP(I135,Справочник!$A$4:$C$11,3,0))</f>
        <v>0</v>
      </c>
      <c r="S135" s="103">
        <f>IF(ISBLANK(F135),0,VLOOKUP(F135,Справочник!$A$4:$C$11,3,0))</f>
        <v>0</v>
      </c>
      <c r="T135" s="103">
        <f>IF(ISBLANK(G135),0,VLOOKUP(G135,Справочник!$A$4:$C$11,3,0))</f>
        <v>0</v>
      </c>
      <c r="U135" s="103">
        <f>IF(ISBLANK(J135),0,VLOOKUP(J135,Справочник!$E$4:$F$7,2,0))</f>
        <v>0</v>
      </c>
      <c r="V135" s="104">
        <f t="shared" si="4"/>
        <v>0</v>
      </c>
      <c r="W135" s="104">
        <f t="shared" si="5"/>
        <v>0</v>
      </c>
      <c r="X135" s="102"/>
      <c r="Y135" s="101"/>
      <c r="Z135" s="101"/>
      <c r="AA135" s="101"/>
      <c r="AB135" s="101"/>
    </row>
    <row r="136" spans="1:28" x14ac:dyDescent="0.45">
      <c r="A136" s="21">
        <v>127</v>
      </c>
      <c r="B136" s="99"/>
      <c r="C136" s="96"/>
      <c r="D136" s="96"/>
      <c r="E136" s="97"/>
      <c r="F136" s="98"/>
      <c r="G136" s="98"/>
      <c r="H136" s="98"/>
      <c r="I136" s="98"/>
      <c r="J136" s="98"/>
      <c r="K136" s="99"/>
      <c r="L136" s="102"/>
      <c r="M136" s="103">
        <f>IF(ISBLANK(H136),0,VLOOKUP(H136,Справочник!$A$4:$C$11,2,0))</f>
        <v>0</v>
      </c>
      <c r="N136" s="103">
        <f>IF(ISBLANK(I136),0,VLOOKUP(I136,Справочник!$A$4:$C$11,2,0))</f>
        <v>0</v>
      </c>
      <c r="O136" s="103">
        <f>IF(ISBLANK(F136),0,VLOOKUP(F136,Справочник!$A$4:$C$11,2,0))</f>
        <v>0</v>
      </c>
      <c r="P136" s="103">
        <f>IF(ISBLANK(G136),0,VLOOKUP(G136,Справочник!$A$1:$C$11,2,0))</f>
        <v>0</v>
      </c>
      <c r="Q136" s="103">
        <f>IF(ISBLANK(H136),0,VLOOKUP(H136,Справочник!$A$4:$C$11,3,0))</f>
        <v>0</v>
      </c>
      <c r="R136" s="103">
        <f>IF(ISBLANK(I136),0,VLOOKUP(I136,Справочник!$A$4:$C$11,3,0))</f>
        <v>0</v>
      </c>
      <c r="S136" s="103">
        <f>IF(ISBLANK(F136),0,VLOOKUP(F136,Справочник!$A$4:$C$11,3,0))</f>
        <v>0</v>
      </c>
      <c r="T136" s="103">
        <f>IF(ISBLANK(G136),0,VLOOKUP(G136,Справочник!$A$4:$C$11,3,0))</f>
        <v>0</v>
      </c>
      <c r="U136" s="103">
        <f>IF(ISBLANK(J136),0,VLOOKUP(J136,Справочник!$E$4:$F$7,2,0))</f>
        <v>0</v>
      </c>
      <c r="V136" s="104">
        <f t="shared" si="4"/>
        <v>0</v>
      </c>
      <c r="W136" s="104">
        <f t="shared" si="5"/>
        <v>0</v>
      </c>
      <c r="X136" s="102"/>
      <c r="Y136" s="101"/>
      <c r="Z136" s="101"/>
      <c r="AA136" s="101"/>
      <c r="AB136" s="101"/>
    </row>
    <row r="137" spans="1:28" x14ac:dyDescent="0.45">
      <c r="A137" s="21">
        <v>128</v>
      </c>
      <c r="B137" s="99"/>
      <c r="C137" s="96"/>
      <c r="D137" s="96"/>
      <c r="E137" s="97"/>
      <c r="F137" s="98"/>
      <c r="G137" s="98"/>
      <c r="H137" s="98"/>
      <c r="I137" s="98"/>
      <c r="J137" s="98"/>
      <c r="K137" s="99"/>
      <c r="L137" s="102"/>
      <c r="M137" s="103">
        <f>IF(ISBLANK(H137),0,VLOOKUP(H137,Справочник!$A$4:$C$11,2,0))</f>
        <v>0</v>
      </c>
      <c r="N137" s="103">
        <f>IF(ISBLANK(I137),0,VLOOKUP(I137,Справочник!$A$4:$C$11,2,0))</f>
        <v>0</v>
      </c>
      <c r="O137" s="103">
        <f>IF(ISBLANK(F137),0,VLOOKUP(F137,Справочник!$A$4:$C$11,2,0))</f>
        <v>0</v>
      </c>
      <c r="P137" s="103">
        <f>IF(ISBLANK(G137),0,VLOOKUP(G137,Справочник!$A$1:$C$11,2,0))</f>
        <v>0</v>
      </c>
      <c r="Q137" s="103">
        <f>IF(ISBLANK(H137),0,VLOOKUP(H137,Справочник!$A$4:$C$11,3,0))</f>
        <v>0</v>
      </c>
      <c r="R137" s="103">
        <f>IF(ISBLANK(I137),0,VLOOKUP(I137,Справочник!$A$4:$C$11,3,0))</f>
        <v>0</v>
      </c>
      <c r="S137" s="103">
        <f>IF(ISBLANK(F137),0,VLOOKUP(F137,Справочник!$A$4:$C$11,3,0))</f>
        <v>0</v>
      </c>
      <c r="T137" s="103">
        <f>IF(ISBLANK(G137),0,VLOOKUP(G137,Справочник!$A$4:$C$11,3,0))</f>
        <v>0</v>
      </c>
      <c r="U137" s="103">
        <f>IF(ISBLANK(J137),0,VLOOKUP(J137,Справочник!$E$4:$F$7,2,0))</f>
        <v>0</v>
      </c>
      <c r="V137" s="104">
        <f t="shared" si="4"/>
        <v>0</v>
      </c>
      <c r="W137" s="104">
        <f t="shared" si="5"/>
        <v>0</v>
      </c>
      <c r="X137" s="102"/>
      <c r="Y137" s="101"/>
      <c r="Z137" s="101"/>
      <c r="AA137" s="101"/>
      <c r="AB137" s="101"/>
    </row>
    <row r="138" spans="1:28" x14ac:dyDescent="0.45">
      <c r="A138" s="23">
        <v>129</v>
      </c>
      <c r="B138" s="99"/>
      <c r="C138" s="96"/>
      <c r="D138" s="96"/>
      <c r="E138" s="97"/>
      <c r="F138" s="98"/>
      <c r="G138" s="98"/>
      <c r="H138" s="98"/>
      <c r="I138" s="98"/>
      <c r="J138" s="98"/>
      <c r="K138" s="99"/>
      <c r="L138" s="102"/>
      <c r="M138" s="103">
        <f>IF(ISBLANK(H138),0,VLOOKUP(H138,Справочник!$A$4:$C$11,2,0))</f>
        <v>0</v>
      </c>
      <c r="N138" s="103">
        <f>IF(ISBLANK(I138),0,VLOOKUP(I138,Справочник!$A$4:$C$11,2,0))</f>
        <v>0</v>
      </c>
      <c r="O138" s="103">
        <f>IF(ISBLANK(F138),0,VLOOKUP(F138,Справочник!$A$4:$C$11,2,0))</f>
        <v>0</v>
      </c>
      <c r="P138" s="103">
        <f>IF(ISBLANK(G138),0,VLOOKUP(G138,Справочник!$A$1:$C$11,2,0))</f>
        <v>0</v>
      </c>
      <c r="Q138" s="103">
        <f>IF(ISBLANK(H138),0,VLOOKUP(H138,Справочник!$A$4:$C$11,3,0))</f>
        <v>0</v>
      </c>
      <c r="R138" s="103">
        <f>IF(ISBLANK(I138),0,VLOOKUP(I138,Справочник!$A$4:$C$11,3,0))</f>
        <v>0</v>
      </c>
      <c r="S138" s="103">
        <f>IF(ISBLANK(F138),0,VLOOKUP(F138,Справочник!$A$4:$C$11,3,0))</f>
        <v>0</v>
      </c>
      <c r="T138" s="103">
        <f>IF(ISBLANK(G138),0,VLOOKUP(G138,Справочник!$A$4:$C$11,3,0))</f>
        <v>0</v>
      </c>
      <c r="U138" s="103">
        <f>IF(ISBLANK(J138),0,VLOOKUP(J138,Справочник!$E$4:$F$7,2,0))</f>
        <v>0</v>
      </c>
      <c r="V138" s="104">
        <f t="shared" si="4"/>
        <v>0</v>
      </c>
      <c r="W138" s="104">
        <f t="shared" si="5"/>
        <v>0</v>
      </c>
      <c r="X138" s="102"/>
      <c r="Y138" s="101"/>
      <c r="Z138" s="101"/>
      <c r="AA138" s="101"/>
      <c r="AB138" s="101"/>
    </row>
    <row r="139" spans="1:28" x14ac:dyDescent="0.45">
      <c r="A139" s="21">
        <v>130</v>
      </c>
      <c r="B139" s="99"/>
      <c r="C139" s="96"/>
      <c r="D139" s="96"/>
      <c r="E139" s="97"/>
      <c r="F139" s="98"/>
      <c r="G139" s="98"/>
      <c r="H139" s="98"/>
      <c r="I139" s="98"/>
      <c r="J139" s="98"/>
      <c r="K139" s="99"/>
      <c r="L139" s="102"/>
      <c r="M139" s="103">
        <f>IF(ISBLANK(H139),0,VLOOKUP(H139,Справочник!$A$4:$C$11,2,0))</f>
        <v>0</v>
      </c>
      <c r="N139" s="103">
        <f>IF(ISBLANK(I139),0,VLOOKUP(I139,Справочник!$A$4:$C$11,2,0))</f>
        <v>0</v>
      </c>
      <c r="O139" s="103">
        <f>IF(ISBLANK(F139),0,VLOOKUP(F139,Справочник!$A$4:$C$11,2,0))</f>
        <v>0</v>
      </c>
      <c r="P139" s="103">
        <f>IF(ISBLANK(G139),0,VLOOKUP(G139,Справочник!$A$1:$C$11,2,0))</f>
        <v>0</v>
      </c>
      <c r="Q139" s="103">
        <f>IF(ISBLANK(H139),0,VLOOKUP(H139,Справочник!$A$4:$C$11,3,0))</f>
        <v>0</v>
      </c>
      <c r="R139" s="103">
        <f>IF(ISBLANK(I139),0,VLOOKUP(I139,Справочник!$A$4:$C$11,3,0))</f>
        <v>0</v>
      </c>
      <c r="S139" s="103">
        <f>IF(ISBLANK(F139),0,VLOOKUP(F139,Справочник!$A$4:$C$11,3,0))</f>
        <v>0</v>
      </c>
      <c r="T139" s="103">
        <f>IF(ISBLANK(G139),0,VLOOKUP(G139,Справочник!$A$4:$C$11,3,0))</f>
        <v>0</v>
      </c>
      <c r="U139" s="103">
        <f>IF(ISBLANK(J139),0,VLOOKUP(J139,Справочник!$E$4:$F$7,2,0))</f>
        <v>0</v>
      </c>
      <c r="V139" s="104">
        <f t="shared" si="4"/>
        <v>0</v>
      </c>
      <c r="W139" s="104">
        <f t="shared" si="5"/>
        <v>0</v>
      </c>
      <c r="X139" s="102"/>
      <c r="Y139" s="101"/>
      <c r="Z139" s="101"/>
      <c r="AA139" s="101"/>
      <c r="AB139" s="101"/>
    </row>
    <row r="140" spans="1:28" x14ac:dyDescent="0.45">
      <c r="A140" s="21">
        <v>131</v>
      </c>
      <c r="B140" s="99"/>
      <c r="C140" s="96"/>
      <c r="D140" s="96"/>
      <c r="E140" s="97"/>
      <c r="F140" s="98"/>
      <c r="G140" s="98"/>
      <c r="H140" s="98"/>
      <c r="I140" s="98"/>
      <c r="J140" s="98"/>
      <c r="K140" s="99"/>
      <c r="L140" s="102"/>
      <c r="M140" s="103">
        <f>IF(ISBLANK(H140),0,VLOOKUP(H140,Справочник!$A$4:$C$11,2,0))</f>
        <v>0</v>
      </c>
      <c r="N140" s="103">
        <f>IF(ISBLANK(I140),0,VLOOKUP(I140,Справочник!$A$4:$C$11,2,0))</f>
        <v>0</v>
      </c>
      <c r="O140" s="103">
        <f>IF(ISBLANK(F140),0,VLOOKUP(F140,Справочник!$A$4:$C$11,2,0))</f>
        <v>0</v>
      </c>
      <c r="P140" s="103">
        <f>IF(ISBLANK(G140),0,VLOOKUP(G140,Справочник!$A$1:$C$11,2,0))</f>
        <v>0</v>
      </c>
      <c r="Q140" s="103">
        <f>IF(ISBLANK(H140),0,VLOOKUP(H140,Справочник!$A$4:$C$11,3,0))</f>
        <v>0</v>
      </c>
      <c r="R140" s="103">
        <f>IF(ISBLANK(I140),0,VLOOKUP(I140,Справочник!$A$4:$C$11,3,0))</f>
        <v>0</v>
      </c>
      <c r="S140" s="103">
        <f>IF(ISBLANK(F140),0,VLOOKUP(F140,Справочник!$A$4:$C$11,3,0))</f>
        <v>0</v>
      </c>
      <c r="T140" s="103">
        <f>IF(ISBLANK(G140),0,VLOOKUP(G140,Справочник!$A$4:$C$11,3,0))</f>
        <v>0</v>
      </c>
      <c r="U140" s="103">
        <f>IF(ISBLANK(J140),0,VLOOKUP(J140,Справочник!$E$4:$F$7,2,0))</f>
        <v>0</v>
      </c>
      <c r="V140" s="104">
        <f t="shared" si="4"/>
        <v>0</v>
      </c>
      <c r="W140" s="104">
        <f t="shared" si="5"/>
        <v>0</v>
      </c>
      <c r="X140" s="102"/>
      <c r="Y140" s="101"/>
      <c r="Z140" s="101"/>
      <c r="AA140" s="101"/>
      <c r="AB140" s="101"/>
    </row>
    <row r="141" spans="1:28" x14ac:dyDescent="0.45">
      <c r="A141" s="23">
        <v>132</v>
      </c>
      <c r="B141" s="99"/>
      <c r="C141" s="96"/>
      <c r="D141" s="96"/>
      <c r="E141" s="97"/>
      <c r="F141" s="98"/>
      <c r="G141" s="98"/>
      <c r="H141" s="98"/>
      <c r="I141" s="98"/>
      <c r="J141" s="98"/>
      <c r="K141" s="99"/>
      <c r="L141" s="102"/>
      <c r="M141" s="103">
        <f>IF(ISBLANK(H141),0,VLOOKUP(H141,Справочник!$A$4:$C$11,2,0))</f>
        <v>0</v>
      </c>
      <c r="N141" s="103">
        <f>IF(ISBLANK(I141),0,VLOOKUP(I141,Справочник!$A$4:$C$11,2,0))</f>
        <v>0</v>
      </c>
      <c r="O141" s="103">
        <f>IF(ISBLANK(F141),0,VLOOKUP(F141,Справочник!$A$4:$C$11,2,0))</f>
        <v>0</v>
      </c>
      <c r="P141" s="103">
        <f>IF(ISBLANK(G141),0,VLOOKUP(G141,Справочник!$A$1:$C$11,2,0))</f>
        <v>0</v>
      </c>
      <c r="Q141" s="103">
        <f>IF(ISBLANK(H141),0,VLOOKUP(H141,Справочник!$A$4:$C$11,3,0))</f>
        <v>0</v>
      </c>
      <c r="R141" s="103">
        <f>IF(ISBLANK(I141),0,VLOOKUP(I141,Справочник!$A$4:$C$11,3,0))</f>
        <v>0</v>
      </c>
      <c r="S141" s="103">
        <f>IF(ISBLANK(F141),0,VLOOKUP(F141,Справочник!$A$4:$C$11,3,0))</f>
        <v>0</v>
      </c>
      <c r="T141" s="103">
        <f>IF(ISBLANK(G141),0,VLOOKUP(G141,Справочник!$A$4:$C$11,3,0))</f>
        <v>0</v>
      </c>
      <c r="U141" s="103">
        <f>IF(ISBLANK(J141),0,VLOOKUP(J141,Справочник!$E$4:$F$7,2,0))</f>
        <v>0</v>
      </c>
      <c r="V141" s="104">
        <f t="shared" si="4"/>
        <v>0</v>
      </c>
      <c r="W141" s="104">
        <f t="shared" si="5"/>
        <v>0</v>
      </c>
      <c r="X141" s="102"/>
      <c r="Y141" s="101"/>
      <c r="Z141" s="101"/>
      <c r="AA141" s="101"/>
      <c r="AB141" s="101"/>
    </row>
    <row r="142" spans="1:28" x14ac:dyDescent="0.45">
      <c r="A142" s="21">
        <v>133</v>
      </c>
      <c r="B142" s="99"/>
      <c r="C142" s="96"/>
      <c r="D142" s="96"/>
      <c r="E142" s="97"/>
      <c r="F142" s="98"/>
      <c r="G142" s="98"/>
      <c r="H142" s="98"/>
      <c r="I142" s="98"/>
      <c r="J142" s="98"/>
      <c r="K142" s="99"/>
      <c r="L142" s="102"/>
      <c r="M142" s="103">
        <f>IF(ISBLANK(H142),0,VLOOKUP(H142,Справочник!$A$4:$C$11,2,0))</f>
        <v>0</v>
      </c>
      <c r="N142" s="103">
        <f>IF(ISBLANK(I142),0,VLOOKUP(I142,Справочник!$A$4:$C$11,2,0))</f>
        <v>0</v>
      </c>
      <c r="O142" s="103">
        <f>IF(ISBLANK(F142),0,VLOOKUP(F142,Справочник!$A$4:$C$11,2,0))</f>
        <v>0</v>
      </c>
      <c r="P142" s="103">
        <f>IF(ISBLANK(G142),0,VLOOKUP(G142,Справочник!$A$1:$C$11,2,0))</f>
        <v>0</v>
      </c>
      <c r="Q142" s="103">
        <f>IF(ISBLANK(H142),0,VLOOKUP(H142,Справочник!$A$4:$C$11,3,0))</f>
        <v>0</v>
      </c>
      <c r="R142" s="103">
        <f>IF(ISBLANK(I142),0,VLOOKUP(I142,Справочник!$A$4:$C$11,3,0))</f>
        <v>0</v>
      </c>
      <c r="S142" s="103">
        <f>IF(ISBLANK(F142),0,VLOOKUP(F142,Справочник!$A$4:$C$11,3,0))</f>
        <v>0</v>
      </c>
      <c r="T142" s="103">
        <f>IF(ISBLANK(G142),0,VLOOKUP(G142,Справочник!$A$4:$C$11,3,0))</f>
        <v>0</v>
      </c>
      <c r="U142" s="103">
        <f>IF(ISBLANK(J142),0,VLOOKUP(J142,Справочник!$E$4:$F$7,2,0))</f>
        <v>0</v>
      </c>
      <c r="V142" s="104">
        <f t="shared" si="4"/>
        <v>0</v>
      </c>
      <c r="W142" s="104">
        <f t="shared" si="5"/>
        <v>0</v>
      </c>
      <c r="X142" s="102"/>
      <c r="Y142" s="101"/>
      <c r="Z142" s="101"/>
      <c r="AA142" s="101"/>
      <c r="AB142" s="101"/>
    </row>
    <row r="143" spans="1:28" x14ac:dyDescent="0.45">
      <c r="A143" s="21">
        <v>134</v>
      </c>
      <c r="B143" s="99"/>
      <c r="C143" s="96"/>
      <c r="D143" s="96"/>
      <c r="E143" s="97"/>
      <c r="F143" s="98"/>
      <c r="G143" s="98"/>
      <c r="H143" s="98"/>
      <c r="I143" s="98"/>
      <c r="J143" s="98"/>
      <c r="K143" s="99"/>
      <c r="L143" s="102"/>
      <c r="M143" s="103">
        <f>IF(ISBLANK(H143),0,VLOOKUP(H143,Справочник!$A$4:$C$11,2,0))</f>
        <v>0</v>
      </c>
      <c r="N143" s="103">
        <f>IF(ISBLANK(I143),0,VLOOKUP(I143,Справочник!$A$4:$C$11,2,0))</f>
        <v>0</v>
      </c>
      <c r="O143" s="103">
        <f>IF(ISBLANK(F143),0,VLOOKUP(F143,Справочник!$A$4:$C$11,2,0))</f>
        <v>0</v>
      </c>
      <c r="P143" s="103">
        <f>IF(ISBLANK(G143),0,VLOOKUP(G143,Справочник!$A$1:$C$11,2,0))</f>
        <v>0</v>
      </c>
      <c r="Q143" s="103">
        <f>IF(ISBLANK(H143),0,VLOOKUP(H143,Справочник!$A$4:$C$11,3,0))</f>
        <v>0</v>
      </c>
      <c r="R143" s="103">
        <f>IF(ISBLANK(I143),0,VLOOKUP(I143,Справочник!$A$4:$C$11,3,0))</f>
        <v>0</v>
      </c>
      <c r="S143" s="103">
        <f>IF(ISBLANK(F143),0,VLOOKUP(F143,Справочник!$A$4:$C$11,3,0))</f>
        <v>0</v>
      </c>
      <c r="T143" s="103">
        <f>IF(ISBLANK(G143),0,VLOOKUP(G143,Справочник!$A$4:$C$11,3,0))</f>
        <v>0</v>
      </c>
      <c r="U143" s="103">
        <f>IF(ISBLANK(J143),0,VLOOKUP(J143,Справочник!$E$4:$F$7,2,0))</f>
        <v>0</v>
      </c>
      <c r="V143" s="104">
        <f t="shared" si="4"/>
        <v>0</v>
      </c>
      <c r="W143" s="104">
        <f t="shared" si="5"/>
        <v>0</v>
      </c>
      <c r="X143" s="102"/>
      <c r="Y143" s="101"/>
      <c r="Z143" s="101"/>
      <c r="AA143" s="101"/>
      <c r="AB143" s="101"/>
    </row>
    <row r="144" spans="1:28" x14ac:dyDescent="0.45">
      <c r="A144" s="23">
        <v>135</v>
      </c>
      <c r="B144" s="99"/>
      <c r="C144" s="96"/>
      <c r="D144" s="96"/>
      <c r="E144" s="97"/>
      <c r="F144" s="98"/>
      <c r="G144" s="98"/>
      <c r="H144" s="98"/>
      <c r="I144" s="98"/>
      <c r="J144" s="98"/>
      <c r="K144" s="99"/>
      <c r="L144" s="102"/>
      <c r="M144" s="103">
        <f>IF(ISBLANK(H144),0,VLOOKUP(H144,Справочник!$A$4:$C$11,2,0))</f>
        <v>0</v>
      </c>
      <c r="N144" s="103">
        <f>IF(ISBLANK(I144),0,VLOOKUP(I144,Справочник!$A$4:$C$11,2,0))</f>
        <v>0</v>
      </c>
      <c r="O144" s="103">
        <f>IF(ISBLANK(F144),0,VLOOKUP(F144,Справочник!$A$4:$C$11,2,0))</f>
        <v>0</v>
      </c>
      <c r="P144" s="103">
        <f>IF(ISBLANK(G144),0,VLOOKUP(G144,Справочник!$A$1:$C$11,2,0))</f>
        <v>0</v>
      </c>
      <c r="Q144" s="103">
        <f>IF(ISBLANK(H144),0,VLOOKUP(H144,Справочник!$A$4:$C$11,3,0))</f>
        <v>0</v>
      </c>
      <c r="R144" s="103">
        <f>IF(ISBLANK(I144),0,VLOOKUP(I144,Справочник!$A$4:$C$11,3,0))</f>
        <v>0</v>
      </c>
      <c r="S144" s="103">
        <f>IF(ISBLANK(F144),0,VLOOKUP(F144,Справочник!$A$4:$C$11,3,0))</f>
        <v>0</v>
      </c>
      <c r="T144" s="103">
        <f>IF(ISBLANK(G144),0,VLOOKUP(G144,Справочник!$A$4:$C$11,3,0))</f>
        <v>0</v>
      </c>
      <c r="U144" s="103">
        <f>IF(ISBLANK(J144),0,VLOOKUP(J144,Справочник!$E$4:$F$7,2,0))</f>
        <v>0</v>
      </c>
      <c r="V144" s="104">
        <f t="shared" si="4"/>
        <v>0</v>
      </c>
      <c r="W144" s="104">
        <f t="shared" si="5"/>
        <v>0</v>
      </c>
      <c r="X144" s="102"/>
      <c r="Y144" s="101"/>
      <c r="Z144" s="101"/>
      <c r="AA144" s="101"/>
      <c r="AB144" s="101"/>
    </row>
    <row r="145" spans="1:28" x14ac:dyDescent="0.45">
      <c r="A145" s="21">
        <v>136</v>
      </c>
      <c r="B145" s="99"/>
      <c r="C145" s="96"/>
      <c r="D145" s="96"/>
      <c r="E145" s="97"/>
      <c r="F145" s="98"/>
      <c r="G145" s="98"/>
      <c r="H145" s="98"/>
      <c r="I145" s="98"/>
      <c r="J145" s="98"/>
      <c r="K145" s="99"/>
      <c r="L145" s="102"/>
      <c r="M145" s="103">
        <f>IF(ISBLANK(H145),0,VLOOKUP(H145,Справочник!$A$4:$C$11,2,0))</f>
        <v>0</v>
      </c>
      <c r="N145" s="103">
        <f>IF(ISBLANK(I145),0,VLOOKUP(I145,Справочник!$A$4:$C$11,2,0))</f>
        <v>0</v>
      </c>
      <c r="O145" s="103">
        <f>IF(ISBLANK(F145),0,VLOOKUP(F145,Справочник!$A$4:$C$11,2,0))</f>
        <v>0</v>
      </c>
      <c r="P145" s="103">
        <f>IF(ISBLANK(G145),0,VLOOKUP(G145,Справочник!$A$1:$C$11,2,0))</f>
        <v>0</v>
      </c>
      <c r="Q145" s="103">
        <f>IF(ISBLANK(H145),0,VLOOKUP(H145,Справочник!$A$4:$C$11,3,0))</f>
        <v>0</v>
      </c>
      <c r="R145" s="103">
        <f>IF(ISBLANK(I145),0,VLOOKUP(I145,Справочник!$A$4:$C$11,3,0))</f>
        <v>0</v>
      </c>
      <c r="S145" s="103">
        <f>IF(ISBLANK(F145),0,VLOOKUP(F145,Справочник!$A$4:$C$11,3,0))</f>
        <v>0</v>
      </c>
      <c r="T145" s="103">
        <f>IF(ISBLANK(G145),0,VLOOKUP(G145,Справочник!$A$4:$C$11,3,0))</f>
        <v>0</v>
      </c>
      <c r="U145" s="103">
        <f>IF(ISBLANK(J145),0,VLOOKUP(J145,Справочник!$E$4:$F$7,2,0))</f>
        <v>0</v>
      </c>
      <c r="V145" s="104">
        <f t="shared" si="4"/>
        <v>0</v>
      </c>
      <c r="W145" s="104">
        <f t="shared" si="5"/>
        <v>0</v>
      </c>
      <c r="X145" s="102"/>
      <c r="Y145" s="101"/>
      <c r="Z145" s="101"/>
      <c r="AA145" s="101"/>
      <c r="AB145" s="101"/>
    </row>
    <row r="146" spans="1:28" x14ac:dyDescent="0.45">
      <c r="A146" s="21">
        <v>137</v>
      </c>
      <c r="B146" s="99"/>
      <c r="C146" s="96"/>
      <c r="D146" s="96"/>
      <c r="E146" s="97"/>
      <c r="F146" s="98"/>
      <c r="G146" s="98"/>
      <c r="H146" s="98"/>
      <c r="I146" s="98"/>
      <c r="J146" s="98"/>
      <c r="K146" s="99"/>
      <c r="L146" s="102"/>
      <c r="M146" s="103">
        <f>IF(ISBLANK(H146),0,VLOOKUP(H146,Справочник!$A$4:$C$11,2,0))</f>
        <v>0</v>
      </c>
      <c r="N146" s="103">
        <f>IF(ISBLANK(I146),0,VLOOKUP(I146,Справочник!$A$4:$C$11,2,0))</f>
        <v>0</v>
      </c>
      <c r="O146" s="103">
        <f>IF(ISBLANK(F146),0,VLOOKUP(F146,Справочник!$A$4:$C$11,2,0))</f>
        <v>0</v>
      </c>
      <c r="P146" s="103">
        <f>IF(ISBLANK(G146),0,VLOOKUP(G146,Справочник!$A$1:$C$11,2,0))</f>
        <v>0</v>
      </c>
      <c r="Q146" s="103">
        <f>IF(ISBLANK(H146),0,VLOOKUP(H146,Справочник!$A$4:$C$11,3,0))</f>
        <v>0</v>
      </c>
      <c r="R146" s="103">
        <f>IF(ISBLANK(I146),0,VLOOKUP(I146,Справочник!$A$4:$C$11,3,0))</f>
        <v>0</v>
      </c>
      <c r="S146" s="103">
        <f>IF(ISBLANK(F146),0,VLOOKUP(F146,Справочник!$A$4:$C$11,3,0))</f>
        <v>0</v>
      </c>
      <c r="T146" s="103">
        <f>IF(ISBLANK(G146),0,VLOOKUP(G146,Справочник!$A$4:$C$11,3,0))</f>
        <v>0</v>
      </c>
      <c r="U146" s="103">
        <f>IF(ISBLANK(J146),0,VLOOKUP(J146,Справочник!$E$4:$F$7,2,0))</f>
        <v>0</v>
      </c>
      <c r="V146" s="104">
        <f t="shared" si="4"/>
        <v>0</v>
      </c>
      <c r="W146" s="104">
        <f t="shared" si="5"/>
        <v>0</v>
      </c>
      <c r="X146" s="102"/>
      <c r="Y146" s="101"/>
      <c r="Z146" s="101"/>
      <c r="AA146" s="101"/>
      <c r="AB146" s="101"/>
    </row>
    <row r="147" spans="1:28" x14ac:dyDescent="0.45">
      <c r="A147" s="23">
        <v>138</v>
      </c>
      <c r="B147" s="99"/>
      <c r="C147" s="96"/>
      <c r="D147" s="96"/>
      <c r="E147" s="97"/>
      <c r="F147" s="98"/>
      <c r="G147" s="98"/>
      <c r="H147" s="98"/>
      <c r="I147" s="98"/>
      <c r="J147" s="98"/>
      <c r="K147" s="99"/>
      <c r="L147" s="102"/>
      <c r="M147" s="103">
        <f>IF(ISBLANK(H147),0,VLOOKUP(H147,Справочник!$A$4:$C$11,2,0))</f>
        <v>0</v>
      </c>
      <c r="N147" s="103">
        <f>IF(ISBLANK(I147),0,VLOOKUP(I147,Справочник!$A$4:$C$11,2,0))</f>
        <v>0</v>
      </c>
      <c r="O147" s="103">
        <f>IF(ISBLANK(F147),0,VLOOKUP(F147,Справочник!$A$4:$C$11,2,0))</f>
        <v>0</v>
      </c>
      <c r="P147" s="103">
        <f>IF(ISBLANK(G147),0,VLOOKUP(G147,Справочник!$A$1:$C$11,2,0))</f>
        <v>0</v>
      </c>
      <c r="Q147" s="103">
        <f>IF(ISBLANK(H147),0,VLOOKUP(H147,Справочник!$A$4:$C$11,3,0))</f>
        <v>0</v>
      </c>
      <c r="R147" s="103">
        <f>IF(ISBLANK(I147),0,VLOOKUP(I147,Справочник!$A$4:$C$11,3,0))</f>
        <v>0</v>
      </c>
      <c r="S147" s="103">
        <f>IF(ISBLANK(F147),0,VLOOKUP(F147,Справочник!$A$4:$C$11,3,0))</f>
        <v>0</v>
      </c>
      <c r="T147" s="103">
        <f>IF(ISBLANK(G147),0,VLOOKUP(G147,Справочник!$A$4:$C$11,3,0))</f>
        <v>0</v>
      </c>
      <c r="U147" s="103">
        <f>IF(ISBLANK(J147),0,VLOOKUP(J147,Справочник!$E$4:$F$7,2,0))</f>
        <v>0</v>
      </c>
      <c r="V147" s="104">
        <f t="shared" si="4"/>
        <v>0</v>
      </c>
      <c r="W147" s="104">
        <f t="shared" si="5"/>
        <v>0</v>
      </c>
      <c r="X147" s="102"/>
      <c r="Y147" s="101"/>
      <c r="Z147" s="101"/>
      <c r="AA147" s="101"/>
      <c r="AB147" s="101"/>
    </row>
    <row r="148" spans="1:28" x14ac:dyDescent="0.45">
      <c r="A148" s="21">
        <v>139</v>
      </c>
      <c r="B148" s="99"/>
      <c r="C148" s="96"/>
      <c r="D148" s="96"/>
      <c r="E148" s="97"/>
      <c r="F148" s="98"/>
      <c r="G148" s="98"/>
      <c r="H148" s="98"/>
      <c r="I148" s="98"/>
      <c r="J148" s="98"/>
      <c r="K148" s="99"/>
      <c r="L148" s="102"/>
      <c r="M148" s="103">
        <f>IF(ISBLANK(H148),0,VLOOKUP(H148,Справочник!$A$4:$C$11,2,0))</f>
        <v>0</v>
      </c>
      <c r="N148" s="103">
        <f>IF(ISBLANK(I148),0,VLOOKUP(I148,Справочник!$A$4:$C$11,2,0))</f>
        <v>0</v>
      </c>
      <c r="O148" s="103">
        <f>IF(ISBLANK(F148),0,VLOOKUP(F148,Справочник!$A$4:$C$11,2,0))</f>
        <v>0</v>
      </c>
      <c r="P148" s="103">
        <f>IF(ISBLANK(G148),0,VLOOKUP(G148,Справочник!$A$1:$C$11,2,0))</f>
        <v>0</v>
      </c>
      <c r="Q148" s="103">
        <f>IF(ISBLANK(H148),0,VLOOKUP(H148,Справочник!$A$4:$C$11,3,0))</f>
        <v>0</v>
      </c>
      <c r="R148" s="103">
        <f>IF(ISBLANK(I148),0,VLOOKUP(I148,Справочник!$A$4:$C$11,3,0))</f>
        <v>0</v>
      </c>
      <c r="S148" s="103">
        <f>IF(ISBLANK(F148),0,VLOOKUP(F148,Справочник!$A$4:$C$11,3,0))</f>
        <v>0</v>
      </c>
      <c r="T148" s="103">
        <f>IF(ISBLANK(G148),0,VLOOKUP(G148,Справочник!$A$4:$C$11,3,0))</f>
        <v>0</v>
      </c>
      <c r="U148" s="103">
        <f>IF(ISBLANK(J148),0,VLOOKUP(J148,Справочник!$E$4:$F$7,2,0))</f>
        <v>0</v>
      </c>
      <c r="V148" s="104">
        <f t="shared" si="4"/>
        <v>0</v>
      </c>
      <c r="W148" s="104">
        <f t="shared" si="5"/>
        <v>0</v>
      </c>
      <c r="X148" s="102"/>
      <c r="Y148" s="101"/>
      <c r="Z148" s="101"/>
      <c r="AA148" s="101"/>
      <c r="AB148" s="101"/>
    </row>
    <row r="149" spans="1:28" x14ac:dyDescent="0.45">
      <c r="A149" s="21">
        <v>140</v>
      </c>
      <c r="B149" s="99"/>
      <c r="C149" s="96"/>
      <c r="D149" s="96"/>
      <c r="E149" s="97"/>
      <c r="F149" s="98"/>
      <c r="G149" s="98"/>
      <c r="H149" s="98"/>
      <c r="I149" s="98"/>
      <c r="J149" s="98"/>
      <c r="K149" s="99"/>
      <c r="L149" s="102"/>
      <c r="M149" s="103">
        <f>IF(ISBLANK(H149),0,VLOOKUP(H149,Справочник!$A$4:$C$11,2,0))</f>
        <v>0</v>
      </c>
      <c r="N149" s="103">
        <f>IF(ISBLANK(I149),0,VLOOKUP(I149,Справочник!$A$4:$C$11,2,0))</f>
        <v>0</v>
      </c>
      <c r="O149" s="103">
        <f>IF(ISBLANK(F149),0,VLOOKUP(F149,Справочник!$A$4:$C$11,2,0))</f>
        <v>0</v>
      </c>
      <c r="P149" s="103">
        <f>IF(ISBLANK(G149),0,VLOOKUP(G149,Справочник!$A$1:$C$11,2,0))</f>
        <v>0</v>
      </c>
      <c r="Q149" s="103">
        <f>IF(ISBLANK(H149),0,VLOOKUP(H149,Справочник!$A$4:$C$11,3,0))</f>
        <v>0</v>
      </c>
      <c r="R149" s="103">
        <f>IF(ISBLANK(I149),0,VLOOKUP(I149,Справочник!$A$4:$C$11,3,0))</f>
        <v>0</v>
      </c>
      <c r="S149" s="103">
        <f>IF(ISBLANK(F149),0,VLOOKUP(F149,Справочник!$A$4:$C$11,3,0))</f>
        <v>0</v>
      </c>
      <c r="T149" s="103">
        <f>IF(ISBLANK(G149),0,VLOOKUP(G149,Справочник!$A$4:$C$11,3,0))</f>
        <v>0</v>
      </c>
      <c r="U149" s="103">
        <f>IF(ISBLANK(J149),0,VLOOKUP(J149,Справочник!$E$4:$F$7,2,0))</f>
        <v>0</v>
      </c>
      <c r="V149" s="104">
        <f t="shared" si="4"/>
        <v>0</v>
      </c>
      <c r="W149" s="104">
        <f t="shared" si="5"/>
        <v>0</v>
      </c>
      <c r="X149" s="102"/>
      <c r="Y149" s="101"/>
      <c r="Z149" s="101"/>
      <c r="AA149" s="101"/>
      <c r="AB149" s="101"/>
    </row>
    <row r="150" spans="1:28" x14ac:dyDescent="0.45">
      <c r="A150" s="23">
        <v>141</v>
      </c>
      <c r="B150" s="99"/>
      <c r="C150" s="96"/>
      <c r="D150" s="96"/>
      <c r="E150" s="97"/>
      <c r="F150" s="98"/>
      <c r="G150" s="98"/>
      <c r="H150" s="98"/>
      <c r="I150" s="98"/>
      <c r="J150" s="98"/>
      <c r="K150" s="99"/>
      <c r="L150" s="102"/>
      <c r="M150" s="103">
        <f>IF(ISBLANK(H150),0,VLOOKUP(H150,Справочник!$A$4:$C$11,2,0))</f>
        <v>0</v>
      </c>
      <c r="N150" s="103">
        <f>IF(ISBLANK(I150),0,VLOOKUP(I150,Справочник!$A$4:$C$11,2,0))</f>
        <v>0</v>
      </c>
      <c r="O150" s="103">
        <f>IF(ISBLANK(F150),0,VLOOKUP(F150,Справочник!$A$4:$C$11,2,0))</f>
        <v>0</v>
      </c>
      <c r="P150" s="103">
        <f>IF(ISBLANK(G150),0,VLOOKUP(G150,Справочник!$A$1:$C$11,2,0))</f>
        <v>0</v>
      </c>
      <c r="Q150" s="103">
        <f>IF(ISBLANK(H150),0,VLOOKUP(H150,Справочник!$A$4:$C$11,3,0))</f>
        <v>0</v>
      </c>
      <c r="R150" s="103">
        <f>IF(ISBLANK(I150),0,VLOOKUP(I150,Справочник!$A$4:$C$11,3,0))</f>
        <v>0</v>
      </c>
      <c r="S150" s="103">
        <f>IF(ISBLANK(F150),0,VLOOKUP(F150,Справочник!$A$4:$C$11,3,0))</f>
        <v>0</v>
      </c>
      <c r="T150" s="103">
        <f>IF(ISBLANK(G150),0,VLOOKUP(G150,Справочник!$A$4:$C$11,3,0))</f>
        <v>0</v>
      </c>
      <c r="U150" s="103">
        <f>IF(ISBLANK(J150),0,VLOOKUP(J150,Справочник!$E$4:$F$7,2,0))</f>
        <v>0</v>
      </c>
      <c r="V150" s="104">
        <f t="shared" si="4"/>
        <v>0</v>
      </c>
      <c r="W150" s="104">
        <f t="shared" si="5"/>
        <v>0</v>
      </c>
      <c r="X150" s="102"/>
      <c r="Y150" s="101"/>
      <c r="Z150" s="101"/>
      <c r="AA150" s="101"/>
      <c r="AB150" s="101"/>
    </row>
    <row r="151" spans="1:28" x14ac:dyDescent="0.45">
      <c r="A151" s="21">
        <v>142</v>
      </c>
      <c r="B151" s="99"/>
      <c r="C151" s="96"/>
      <c r="D151" s="96"/>
      <c r="E151" s="97"/>
      <c r="F151" s="98"/>
      <c r="G151" s="98"/>
      <c r="H151" s="98"/>
      <c r="I151" s="98"/>
      <c r="J151" s="98"/>
      <c r="K151" s="99"/>
      <c r="L151" s="102"/>
      <c r="M151" s="103">
        <f>IF(ISBLANK(H151),0,VLOOKUP(H151,Справочник!$A$4:$C$11,2,0))</f>
        <v>0</v>
      </c>
      <c r="N151" s="103">
        <f>IF(ISBLANK(I151),0,VLOOKUP(I151,Справочник!$A$4:$C$11,2,0))</f>
        <v>0</v>
      </c>
      <c r="O151" s="103">
        <f>IF(ISBLANK(F151),0,VLOOKUP(F151,Справочник!$A$4:$C$11,2,0))</f>
        <v>0</v>
      </c>
      <c r="P151" s="103">
        <f>IF(ISBLANK(G151),0,VLOOKUP(G151,Справочник!$A$1:$C$11,2,0))</f>
        <v>0</v>
      </c>
      <c r="Q151" s="103">
        <f>IF(ISBLANK(H151),0,VLOOKUP(H151,Справочник!$A$4:$C$11,3,0))</f>
        <v>0</v>
      </c>
      <c r="R151" s="103">
        <f>IF(ISBLANK(I151),0,VLOOKUP(I151,Справочник!$A$4:$C$11,3,0))</f>
        <v>0</v>
      </c>
      <c r="S151" s="103">
        <f>IF(ISBLANK(F151),0,VLOOKUP(F151,Справочник!$A$4:$C$11,3,0))</f>
        <v>0</v>
      </c>
      <c r="T151" s="103">
        <f>IF(ISBLANK(G151),0,VLOOKUP(G151,Справочник!$A$4:$C$11,3,0))</f>
        <v>0</v>
      </c>
      <c r="U151" s="103">
        <f>IF(ISBLANK(J151),0,VLOOKUP(J151,Справочник!$E$4:$F$7,2,0))</f>
        <v>0</v>
      </c>
      <c r="V151" s="104">
        <f t="shared" si="4"/>
        <v>0</v>
      </c>
      <c r="W151" s="104">
        <f t="shared" si="5"/>
        <v>0</v>
      </c>
      <c r="X151" s="102"/>
      <c r="Y151" s="101"/>
      <c r="Z151" s="101"/>
      <c r="AA151" s="101"/>
      <c r="AB151" s="101"/>
    </row>
    <row r="152" spans="1:28" x14ac:dyDescent="0.45">
      <c r="A152" s="21">
        <v>143</v>
      </c>
      <c r="B152" s="99"/>
      <c r="C152" s="96"/>
      <c r="D152" s="96"/>
      <c r="E152" s="97"/>
      <c r="F152" s="98"/>
      <c r="G152" s="98"/>
      <c r="H152" s="98"/>
      <c r="I152" s="98"/>
      <c r="J152" s="98"/>
      <c r="K152" s="99"/>
      <c r="L152" s="102"/>
      <c r="M152" s="103">
        <f>IF(ISBLANK(H152),0,VLOOKUP(H152,Справочник!$A$4:$C$11,2,0))</f>
        <v>0</v>
      </c>
      <c r="N152" s="103">
        <f>IF(ISBLANK(I152),0,VLOOKUP(I152,Справочник!$A$4:$C$11,2,0))</f>
        <v>0</v>
      </c>
      <c r="O152" s="103">
        <f>IF(ISBLANK(F152),0,VLOOKUP(F152,Справочник!$A$4:$C$11,2,0))</f>
        <v>0</v>
      </c>
      <c r="P152" s="103">
        <f>IF(ISBLANK(G152),0,VLOOKUP(G152,Справочник!$A$1:$C$11,2,0))</f>
        <v>0</v>
      </c>
      <c r="Q152" s="103">
        <f>IF(ISBLANK(H152),0,VLOOKUP(H152,Справочник!$A$4:$C$11,3,0))</f>
        <v>0</v>
      </c>
      <c r="R152" s="103">
        <f>IF(ISBLANK(I152),0,VLOOKUP(I152,Справочник!$A$4:$C$11,3,0))</f>
        <v>0</v>
      </c>
      <c r="S152" s="103">
        <f>IF(ISBLANK(F152),0,VLOOKUP(F152,Справочник!$A$4:$C$11,3,0))</f>
        <v>0</v>
      </c>
      <c r="T152" s="103">
        <f>IF(ISBLANK(G152),0,VLOOKUP(G152,Справочник!$A$4:$C$11,3,0))</f>
        <v>0</v>
      </c>
      <c r="U152" s="103">
        <f>IF(ISBLANK(J152),0,VLOOKUP(J152,Справочник!$E$4:$F$7,2,0))</f>
        <v>0</v>
      </c>
      <c r="V152" s="104">
        <f t="shared" si="4"/>
        <v>0</v>
      </c>
      <c r="W152" s="104">
        <f t="shared" si="5"/>
        <v>0</v>
      </c>
      <c r="X152" s="102"/>
      <c r="Y152" s="101"/>
      <c r="Z152" s="101"/>
      <c r="AA152" s="101"/>
      <c r="AB152" s="101"/>
    </row>
    <row r="153" spans="1:28" x14ac:dyDescent="0.45">
      <c r="A153" s="23">
        <v>144</v>
      </c>
      <c r="B153" s="99"/>
      <c r="C153" s="96"/>
      <c r="D153" s="96"/>
      <c r="E153" s="97"/>
      <c r="F153" s="98"/>
      <c r="G153" s="98"/>
      <c r="H153" s="98"/>
      <c r="I153" s="98"/>
      <c r="J153" s="98"/>
      <c r="K153" s="99"/>
      <c r="L153" s="102"/>
      <c r="M153" s="103">
        <f>IF(ISBLANK(H153),0,VLOOKUP(H153,Справочник!$A$4:$C$11,2,0))</f>
        <v>0</v>
      </c>
      <c r="N153" s="103">
        <f>IF(ISBLANK(I153),0,VLOOKUP(I153,Справочник!$A$4:$C$11,2,0))</f>
        <v>0</v>
      </c>
      <c r="O153" s="103">
        <f>IF(ISBLANK(F153),0,VLOOKUP(F153,Справочник!$A$4:$C$11,2,0))</f>
        <v>0</v>
      </c>
      <c r="P153" s="103">
        <f>IF(ISBLANK(G153),0,VLOOKUP(G153,Справочник!$A$1:$C$11,2,0))</f>
        <v>0</v>
      </c>
      <c r="Q153" s="103">
        <f>IF(ISBLANK(H153),0,VLOOKUP(H153,Справочник!$A$4:$C$11,3,0))</f>
        <v>0</v>
      </c>
      <c r="R153" s="103">
        <f>IF(ISBLANK(I153),0,VLOOKUP(I153,Справочник!$A$4:$C$11,3,0))</f>
        <v>0</v>
      </c>
      <c r="S153" s="103">
        <f>IF(ISBLANK(F153),0,VLOOKUP(F153,Справочник!$A$4:$C$11,3,0))</f>
        <v>0</v>
      </c>
      <c r="T153" s="103">
        <f>IF(ISBLANK(G153),0,VLOOKUP(G153,Справочник!$A$4:$C$11,3,0))</f>
        <v>0</v>
      </c>
      <c r="U153" s="103">
        <f>IF(ISBLANK(J153),0,VLOOKUP(J153,Справочник!$E$4:$F$7,2,0))</f>
        <v>0</v>
      </c>
      <c r="V153" s="104">
        <f t="shared" si="4"/>
        <v>0</v>
      </c>
      <c r="W153" s="104">
        <f t="shared" si="5"/>
        <v>0</v>
      </c>
      <c r="X153" s="102"/>
      <c r="Y153" s="101"/>
      <c r="Z153" s="101"/>
      <c r="AA153" s="101"/>
      <c r="AB153" s="101"/>
    </row>
    <row r="154" spans="1:28" x14ac:dyDescent="0.45">
      <c r="A154" s="21">
        <v>145</v>
      </c>
      <c r="B154" s="99"/>
      <c r="C154" s="96"/>
      <c r="D154" s="96"/>
      <c r="E154" s="97"/>
      <c r="F154" s="98"/>
      <c r="G154" s="98"/>
      <c r="H154" s="98"/>
      <c r="I154" s="98"/>
      <c r="J154" s="98"/>
      <c r="K154" s="99"/>
      <c r="L154" s="102"/>
      <c r="M154" s="103">
        <f>IF(ISBLANK(H154),0,VLOOKUP(H154,Справочник!$A$4:$C$11,2,0))</f>
        <v>0</v>
      </c>
      <c r="N154" s="103">
        <f>IF(ISBLANK(I154),0,VLOOKUP(I154,Справочник!$A$4:$C$11,2,0))</f>
        <v>0</v>
      </c>
      <c r="O154" s="103">
        <f>IF(ISBLANK(F154),0,VLOOKUP(F154,Справочник!$A$4:$C$11,2,0))</f>
        <v>0</v>
      </c>
      <c r="P154" s="103">
        <f>IF(ISBLANK(G154),0,VLOOKUP(G154,Справочник!$A$1:$C$11,2,0))</f>
        <v>0</v>
      </c>
      <c r="Q154" s="103">
        <f>IF(ISBLANK(H154),0,VLOOKUP(H154,Справочник!$A$4:$C$11,3,0))</f>
        <v>0</v>
      </c>
      <c r="R154" s="103">
        <f>IF(ISBLANK(I154),0,VLOOKUP(I154,Справочник!$A$4:$C$11,3,0))</f>
        <v>0</v>
      </c>
      <c r="S154" s="103">
        <f>IF(ISBLANK(F154),0,VLOOKUP(F154,Справочник!$A$4:$C$11,3,0))</f>
        <v>0</v>
      </c>
      <c r="T154" s="103">
        <f>IF(ISBLANK(G154),0,VLOOKUP(G154,Справочник!$A$4:$C$11,3,0))</f>
        <v>0</v>
      </c>
      <c r="U154" s="103">
        <f>IF(ISBLANK(J154),0,VLOOKUP(J154,Справочник!$E$4:$F$7,2,0))</f>
        <v>0</v>
      </c>
      <c r="V154" s="104">
        <f t="shared" si="4"/>
        <v>0</v>
      </c>
      <c r="W154" s="104">
        <f t="shared" si="5"/>
        <v>0</v>
      </c>
      <c r="X154" s="102"/>
      <c r="Y154" s="101"/>
      <c r="Z154" s="101"/>
      <c r="AA154" s="101"/>
      <c r="AB154" s="101"/>
    </row>
    <row r="155" spans="1:28" x14ac:dyDescent="0.45">
      <c r="A155" s="21">
        <v>146</v>
      </c>
      <c r="B155" s="99"/>
      <c r="C155" s="96"/>
      <c r="D155" s="96"/>
      <c r="E155" s="97"/>
      <c r="F155" s="98"/>
      <c r="G155" s="98"/>
      <c r="H155" s="98"/>
      <c r="I155" s="98"/>
      <c r="J155" s="98"/>
      <c r="K155" s="99"/>
      <c r="L155" s="102"/>
      <c r="M155" s="103">
        <f>IF(ISBLANK(H155),0,VLOOKUP(H155,Справочник!$A$4:$C$11,2,0))</f>
        <v>0</v>
      </c>
      <c r="N155" s="103">
        <f>IF(ISBLANK(I155),0,VLOOKUP(I155,Справочник!$A$4:$C$11,2,0))</f>
        <v>0</v>
      </c>
      <c r="O155" s="103">
        <f>IF(ISBLANK(F155),0,VLOOKUP(F155,Справочник!$A$4:$C$11,2,0))</f>
        <v>0</v>
      </c>
      <c r="P155" s="103">
        <f>IF(ISBLANK(G155),0,VLOOKUP(G155,Справочник!$A$1:$C$11,2,0))</f>
        <v>0</v>
      </c>
      <c r="Q155" s="103">
        <f>IF(ISBLANK(H155),0,VLOOKUP(H155,Справочник!$A$4:$C$11,3,0))</f>
        <v>0</v>
      </c>
      <c r="R155" s="103">
        <f>IF(ISBLANK(I155),0,VLOOKUP(I155,Справочник!$A$4:$C$11,3,0))</f>
        <v>0</v>
      </c>
      <c r="S155" s="103">
        <f>IF(ISBLANK(F155),0,VLOOKUP(F155,Справочник!$A$4:$C$11,3,0))</f>
        <v>0</v>
      </c>
      <c r="T155" s="103">
        <f>IF(ISBLANK(G155),0,VLOOKUP(G155,Справочник!$A$4:$C$11,3,0))</f>
        <v>0</v>
      </c>
      <c r="U155" s="103">
        <f>IF(ISBLANK(J155),0,VLOOKUP(J155,Справочник!$E$4:$F$7,2,0))</f>
        <v>0</v>
      </c>
      <c r="V155" s="104">
        <f t="shared" si="4"/>
        <v>0</v>
      </c>
      <c r="W155" s="104">
        <f t="shared" si="5"/>
        <v>0</v>
      </c>
      <c r="X155" s="102"/>
      <c r="Y155" s="101"/>
      <c r="Z155" s="101"/>
      <c r="AA155" s="101"/>
      <c r="AB155" s="101"/>
    </row>
    <row r="156" spans="1:28" x14ac:dyDescent="0.45">
      <c r="A156" s="23">
        <v>147</v>
      </c>
      <c r="B156" s="99"/>
      <c r="C156" s="96"/>
      <c r="D156" s="96"/>
      <c r="E156" s="97"/>
      <c r="F156" s="98"/>
      <c r="G156" s="98"/>
      <c r="H156" s="98"/>
      <c r="I156" s="98"/>
      <c r="J156" s="98"/>
      <c r="K156" s="99"/>
      <c r="L156" s="102"/>
      <c r="M156" s="103">
        <f>IF(ISBLANK(H156),0,VLOOKUP(H156,Справочник!$A$4:$C$11,2,0))</f>
        <v>0</v>
      </c>
      <c r="N156" s="103">
        <f>IF(ISBLANK(I156),0,VLOOKUP(I156,Справочник!$A$4:$C$11,2,0))</f>
        <v>0</v>
      </c>
      <c r="O156" s="103">
        <f>IF(ISBLANK(F156),0,VLOOKUP(F156,Справочник!$A$4:$C$11,2,0))</f>
        <v>0</v>
      </c>
      <c r="P156" s="103">
        <f>IF(ISBLANK(G156),0,VLOOKUP(G156,Справочник!$A$1:$C$11,2,0))</f>
        <v>0</v>
      </c>
      <c r="Q156" s="103">
        <f>IF(ISBLANK(H156),0,VLOOKUP(H156,Справочник!$A$4:$C$11,3,0))</f>
        <v>0</v>
      </c>
      <c r="R156" s="103">
        <f>IF(ISBLANK(I156),0,VLOOKUP(I156,Справочник!$A$4:$C$11,3,0))</f>
        <v>0</v>
      </c>
      <c r="S156" s="103">
        <f>IF(ISBLANK(F156),0,VLOOKUP(F156,Справочник!$A$4:$C$11,3,0))</f>
        <v>0</v>
      </c>
      <c r="T156" s="103">
        <f>IF(ISBLANK(G156),0,VLOOKUP(G156,Справочник!$A$4:$C$11,3,0))</f>
        <v>0</v>
      </c>
      <c r="U156" s="103">
        <f>IF(ISBLANK(J156),0,VLOOKUP(J156,Справочник!$E$4:$F$7,2,0))</f>
        <v>0</v>
      </c>
      <c r="V156" s="104">
        <f t="shared" si="4"/>
        <v>0</v>
      </c>
      <c r="W156" s="104">
        <f t="shared" si="5"/>
        <v>0</v>
      </c>
      <c r="X156" s="102"/>
      <c r="Y156" s="101"/>
      <c r="Z156" s="101"/>
      <c r="AA156" s="101"/>
      <c r="AB156" s="101"/>
    </row>
    <row r="157" spans="1:28" x14ac:dyDescent="0.45">
      <c r="A157" s="21">
        <v>148</v>
      </c>
      <c r="B157" s="99"/>
      <c r="C157" s="96"/>
      <c r="D157" s="96"/>
      <c r="E157" s="97"/>
      <c r="F157" s="98"/>
      <c r="G157" s="98"/>
      <c r="H157" s="98"/>
      <c r="I157" s="98"/>
      <c r="J157" s="98"/>
      <c r="K157" s="99"/>
      <c r="L157" s="102"/>
      <c r="M157" s="103">
        <f>IF(ISBLANK(H157),0,VLOOKUP(H157,Справочник!$A$4:$C$11,2,0))</f>
        <v>0</v>
      </c>
      <c r="N157" s="103">
        <f>IF(ISBLANK(I157),0,VLOOKUP(I157,Справочник!$A$4:$C$11,2,0))</f>
        <v>0</v>
      </c>
      <c r="O157" s="103">
        <f>IF(ISBLANK(F157),0,VLOOKUP(F157,Справочник!$A$4:$C$11,2,0))</f>
        <v>0</v>
      </c>
      <c r="P157" s="103">
        <f>IF(ISBLANK(G157),0,VLOOKUP(G157,Справочник!$A$1:$C$11,2,0))</f>
        <v>0</v>
      </c>
      <c r="Q157" s="103">
        <f>IF(ISBLANK(H157),0,VLOOKUP(H157,Справочник!$A$4:$C$11,3,0))</f>
        <v>0</v>
      </c>
      <c r="R157" s="103">
        <f>IF(ISBLANK(I157),0,VLOOKUP(I157,Справочник!$A$4:$C$11,3,0))</f>
        <v>0</v>
      </c>
      <c r="S157" s="103">
        <f>IF(ISBLANK(F157),0,VLOOKUP(F157,Справочник!$A$4:$C$11,3,0))</f>
        <v>0</v>
      </c>
      <c r="T157" s="103">
        <f>IF(ISBLANK(G157),0,VLOOKUP(G157,Справочник!$A$4:$C$11,3,0))</f>
        <v>0</v>
      </c>
      <c r="U157" s="103">
        <f>IF(ISBLANK(J157),0,VLOOKUP(J157,Справочник!$E$4:$F$7,2,0))</f>
        <v>0</v>
      </c>
      <c r="V157" s="104">
        <f t="shared" si="4"/>
        <v>0</v>
      </c>
      <c r="W157" s="104">
        <f t="shared" si="5"/>
        <v>0</v>
      </c>
      <c r="X157" s="102"/>
      <c r="Y157" s="101"/>
      <c r="Z157" s="101"/>
      <c r="AA157" s="101"/>
      <c r="AB157" s="101"/>
    </row>
    <row r="158" spans="1:28" x14ac:dyDescent="0.45">
      <c r="A158" s="21">
        <v>149</v>
      </c>
      <c r="B158" s="99"/>
      <c r="C158" s="96"/>
      <c r="D158" s="96"/>
      <c r="E158" s="97"/>
      <c r="F158" s="98"/>
      <c r="G158" s="98"/>
      <c r="H158" s="98"/>
      <c r="I158" s="98"/>
      <c r="J158" s="98"/>
      <c r="K158" s="99"/>
      <c r="L158" s="102"/>
      <c r="M158" s="103">
        <f>IF(ISBLANK(H158),0,VLOOKUP(H158,Справочник!$A$4:$C$11,2,0))</f>
        <v>0</v>
      </c>
      <c r="N158" s="103">
        <f>IF(ISBLANK(I158),0,VLOOKUP(I158,Справочник!$A$4:$C$11,2,0))</f>
        <v>0</v>
      </c>
      <c r="O158" s="103">
        <f>IF(ISBLANK(F158),0,VLOOKUP(F158,Справочник!$A$4:$C$11,2,0))</f>
        <v>0</v>
      </c>
      <c r="P158" s="103">
        <f>IF(ISBLANK(G158),0,VLOOKUP(G158,Справочник!$A$1:$C$11,2,0))</f>
        <v>0</v>
      </c>
      <c r="Q158" s="103">
        <f>IF(ISBLANK(H158),0,VLOOKUP(H158,Справочник!$A$4:$C$11,3,0))</f>
        <v>0</v>
      </c>
      <c r="R158" s="103">
        <f>IF(ISBLANK(I158),0,VLOOKUP(I158,Справочник!$A$4:$C$11,3,0))</f>
        <v>0</v>
      </c>
      <c r="S158" s="103">
        <f>IF(ISBLANK(F158),0,VLOOKUP(F158,Справочник!$A$4:$C$11,3,0))</f>
        <v>0</v>
      </c>
      <c r="T158" s="103">
        <f>IF(ISBLANK(G158),0,VLOOKUP(G158,Справочник!$A$4:$C$11,3,0))</f>
        <v>0</v>
      </c>
      <c r="U158" s="103">
        <f>IF(ISBLANK(J158),0,VLOOKUP(J158,Справочник!$E$4:$F$7,2,0))</f>
        <v>0</v>
      </c>
      <c r="V158" s="104">
        <f t="shared" si="4"/>
        <v>0</v>
      </c>
      <c r="W158" s="104">
        <f t="shared" si="5"/>
        <v>0</v>
      </c>
      <c r="X158" s="102"/>
      <c r="Y158" s="101"/>
      <c r="Z158" s="101"/>
      <c r="AA158" s="101"/>
      <c r="AB158" s="101"/>
    </row>
    <row r="159" spans="1:28" x14ac:dyDescent="0.45">
      <c r="A159" s="23">
        <v>150</v>
      </c>
      <c r="B159" s="99"/>
      <c r="C159" s="96"/>
      <c r="D159" s="96"/>
      <c r="E159" s="97"/>
      <c r="F159" s="98"/>
      <c r="G159" s="98"/>
      <c r="H159" s="98"/>
      <c r="I159" s="98"/>
      <c r="J159" s="98"/>
      <c r="K159" s="99"/>
      <c r="L159" s="102"/>
      <c r="M159" s="103">
        <f>IF(ISBLANK(H159),0,VLOOKUP(H159,Справочник!$A$4:$C$11,2,0))</f>
        <v>0</v>
      </c>
      <c r="N159" s="103">
        <f>IF(ISBLANK(I159),0,VLOOKUP(I159,Справочник!$A$4:$C$11,2,0))</f>
        <v>0</v>
      </c>
      <c r="O159" s="103">
        <f>IF(ISBLANK(F159),0,VLOOKUP(F159,Справочник!$A$4:$C$11,2,0))</f>
        <v>0</v>
      </c>
      <c r="P159" s="103">
        <f>IF(ISBLANK(G159),0,VLOOKUP(G159,Справочник!$A$1:$C$11,2,0))</f>
        <v>0</v>
      </c>
      <c r="Q159" s="103">
        <f>IF(ISBLANK(H159),0,VLOOKUP(H159,Справочник!$A$4:$C$11,3,0))</f>
        <v>0</v>
      </c>
      <c r="R159" s="103">
        <f>IF(ISBLANK(I159),0,VLOOKUP(I159,Справочник!$A$4:$C$11,3,0))</f>
        <v>0</v>
      </c>
      <c r="S159" s="103">
        <f>IF(ISBLANK(F159),0,VLOOKUP(F159,Справочник!$A$4:$C$11,3,0))</f>
        <v>0</v>
      </c>
      <c r="T159" s="103">
        <f>IF(ISBLANK(G159),0,VLOOKUP(G159,Справочник!$A$4:$C$11,3,0))</f>
        <v>0</v>
      </c>
      <c r="U159" s="103">
        <f>IF(ISBLANK(J159),0,VLOOKUP(J159,Справочник!$E$4:$F$7,2,0))</f>
        <v>0</v>
      </c>
      <c r="V159" s="104">
        <f t="shared" si="4"/>
        <v>0</v>
      </c>
      <c r="W159" s="104">
        <f t="shared" si="5"/>
        <v>0</v>
      </c>
      <c r="X159" s="102"/>
      <c r="Y159" s="101"/>
      <c r="Z159" s="101"/>
      <c r="AA159" s="101"/>
      <c r="AB159" s="101"/>
    </row>
    <row r="160" spans="1:28" x14ac:dyDescent="0.45">
      <c r="A160" s="21">
        <v>151</v>
      </c>
      <c r="B160" s="99"/>
      <c r="C160" s="96"/>
      <c r="D160" s="96"/>
      <c r="E160" s="97"/>
      <c r="F160" s="98"/>
      <c r="G160" s="98"/>
      <c r="H160" s="98"/>
      <c r="I160" s="98"/>
      <c r="J160" s="98"/>
      <c r="K160" s="99"/>
      <c r="L160" s="102"/>
      <c r="M160" s="103">
        <f>IF(ISBLANK(H160),0,VLOOKUP(H160,Справочник!$A$4:$C$11,2,0))</f>
        <v>0</v>
      </c>
      <c r="N160" s="103">
        <f>IF(ISBLANK(I160),0,VLOOKUP(I160,Справочник!$A$4:$C$11,2,0))</f>
        <v>0</v>
      </c>
      <c r="O160" s="103">
        <f>IF(ISBLANK(F160),0,VLOOKUP(F160,Справочник!$A$4:$C$11,2,0))</f>
        <v>0</v>
      </c>
      <c r="P160" s="103">
        <f>IF(ISBLANK(G160),0,VLOOKUP(G160,Справочник!$A$1:$C$11,2,0))</f>
        <v>0</v>
      </c>
      <c r="Q160" s="103">
        <f>IF(ISBLANK(H160),0,VLOOKUP(H160,Справочник!$A$4:$C$11,3,0))</f>
        <v>0</v>
      </c>
      <c r="R160" s="103">
        <f>IF(ISBLANK(I160),0,VLOOKUP(I160,Справочник!$A$4:$C$11,3,0))</f>
        <v>0</v>
      </c>
      <c r="S160" s="103">
        <f>IF(ISBLANK(F160),0,VLOOKUP(F160,Справочник!$A$4:$C$11,3,0))</f>
        <v>0</v>
      </c>
      <c r="T160" s="103">
        <f>IF(ISBLANK(G160),0,VLOOKUP(G160,Справочник!$A$4:$C$11,3,0))</f>
        <v>0</v>
      </c>
      <c r="U160" s="103">
        <f>IF(ISBLANK(J160),0,VLOOKUP(J160,Справочник!$E$4:$F$7,2,0))</f>
        <v>0</v>
      </c>
      <c r="V160" s="104">
        <f t="shared" si="4"/>
        <v>0</v>
      </c>
      <c r="W160" s="104">
        <f t="shared" si="5"/>
        <v>0</v>
      </c>
      <c r="X160" s="102"/>
      <c r="Y160" s="101"/>
      <c r="Z160" s="101"/>
      <c r="AA160" s="101"/>
      <c r="AB160" s="101"/>
    </row>
    <row r="161" spans="1:28" x14ac:dyDescent="0.45">
      <c r="A161" s="21">
        <v>152</v>
      </c>
      <c r="B161" s="99"/>
      <c r="C161" s="96"/>
      <c r="D161" s="96"/>
      <c r="E161" s="97"/>
      <c r="F161" s="98"/>
      <c r="G161" s="98"/>
      <c r="H161" s="98"/>
      <c r="I161" s="98"/>
      <c r="J161" s="98"/>
      <c r="K161" s="99"/>
      <c r="L161" s="102"/>
      <c r="M161" s="103">
        <f>IF(ISBLANK(H161),0,VLOOKUP(H161,Справочник!$A$4:$C$11,2,0))</f>
        <v>0</v>
      </c>
      <c r="N161" s="103">
        <f>IF(ISBLANK(I161),0,VLOOKUP(I161,Справочник!$A$4:$C$11,2,0))</f>
        <v>0</v>
      </c>
      <c r="O161" s="103">
        <f>IF(ISBLANK(F161),0,VLOOKUP(F161,Справочник!$A$4:$C$11,2,0))</f>
        <v>0</v>
      </c>
      <c r="P161" s="103">
        <f>IF(ISBLANK(G161),0,VLOOKUP(G161,Справочник!$A$1:$C$11,2,0))</f>
        <v>0</v>
      </c>
      <c r="Q161" s="103">
        <f>IF(ISBLANK(H161),0,VLOOKUP(H161,Справочник!$A$4:$C$11,3,0))</f>
        <v>0</v>
      </c>
      <c r="R161" s="103">
        <f>IF(ISBLANK(I161),0,VLOOKUP(I161,Справочник!$A$4:$C$11,3,0))</f>
        <v>0</v>
      </c>
      <c r="S161" s="103">
        <f>IF(ISBLANK(F161),0,VLOOKUP(F161,Справочник!$A$4:$C$11,3,0))</f>
        <v>0</v>
      </c>
      <c r="T161" s="103">
        <f>IF(ISBLANK(G161),0,VLOOKUP(G161,Справочник!$A$4:$C$11,3,0))</f>
        <v>0</v>
      </c>
      <c r="U161" s="103">
        <f>IF(ISBLANK(J161),0,VLOOKUP(J161,Справочник!$E$4:$F$7,2,0))</f>
        <v>0</v>
      </c>
      <c r="V161" s="104">
        <f t="shared" si="4"/>
        <v>0</v>
      </c>
      <c r="W161" s="104">
        <f t="shared" si="5"/>
        <v>0</v>
      </c>
      <c r="X161" s="102"/>
      <c r="Y161" s="101"/>
      <c r="Z161" s="101"/>
      <c r="AA161" s="101"/>
      <c r="AB161" s="101"/>
    </row>
    <row r="162" spans="1:28" x14ac:dyDescent="0.45">
      <c r="A162" s="23">
        <v>153</v>
      </c>
      <c r="B162" s="99"/>
      <c r="C162" s="96"/>
      <c r="D162" s="96"/>
      <c r="E162" s="97"/>
      <c r="F162" s="98"/>
      <c r="G162" s="98"/>
      <c r="H162" s="98"/>
      <c r="I162" s="98"/>
      <c r="J162" s="98"/>
      <c r="K162" s="99"/>
      <c r="L162" s="102"/>
      <c r="M162" s="103">
        <f>IF(ISBLANK(H162),0,VLOOKUP(H162,Справочник!$A$4:$C$11,2,0))</f>
        <v>0</v>
      </c>
      <c r="N162" s="103">
        <f>IF(ISBLANK(I162),0,VLOOKUP(I162,Справочник!$A$4:$C$11,2,0))</f>
        <v>0</v>
      </c>
      <c r="O162" s="103">
        <f>IF(ISBLANK(F162),0,VLOOKUP(F162,Справочник!$A$4:$C$11,2,0))</f>
        <v>0</v>
      </c>
      <c r="P162" s="103">
        <f>IF(ISBLANK(G162),0,VLOOKUP(G162,Справочник!$A$1:$C$11,2,0))</f>
        <v>0</v>
      </c>
      <c r="Q162" s="103">
        <f>IF(ISBLANK(H162),0,VLOOKUP(H162,Справочник!$A$4:$C$11,3,0))</f>
        <v>0</v>
      </c>
      <c r="R162" s="103">
        <f>IF(ISBLANK(I162),0,VLOOKUP(I162,Справочник!$A$4:$C$11,3,0))</f>
        <v>0</v>
      </c>
      <c r="S162" s="103">
        <f>IF(ISBLANK(F162),0,VLOOKUP(F162,Справочник!$A$4:$C$11,3,0))</f>
        <v>0</v>
      </c>
      <c r="T162" s="103">
        <f>IF(ISBLANK(G162),0,VLOOKUP(G162,Справочник!$A$4:$C$11,3,0))</f>
        <v>0</v>
      </c>
      <c r="U162" s="103">
        <f>IF(ISBLANK(J162),0,VLOOKUP(J162,Справочник!$E$4:$F$7,2,0))</f>
        <v>0</v>
      </c>
      <c r="V162" s="104">
        <f t="shared" si="4"/>
        <v>0</v>
      </c>
      <c r="W162" s="104">
        <f t="shared" si="5"/>
        <v>0</v>
      </c>
      <c r="X162" s="102"/>
      <c r="Y162" s="101"/>
      <c r="Z162" s="101"/>
      <c r="AA162" s="101"/>
      <c r="AB162" s="101"/>
    </row>
    <row r="163" spans="1:28" x14ac:dyDescent="0.45">
      <c r="A163" s="21">
        <v>154</v>
      </c>
      <c r="B163" s="99"/>
      <c r="C163" s="96"/>
      <c r="D163" s="96"/>
      <c r="E163" s="97"/>
      <c r="F163" s="98"/>
      <c r="G163" s="98"/>
      <c r="H163" s="98"/>
      <c r="I163" s="98"/>
      <c r="J163" s="98"/>
      <c r="K163" s="99"/>
      <c r="L163" s="102"/>
      <c r="M163" s="103">
        <f>IF(ISBLANK(H163),0,VLOOKUP(H163,Справочник!$A$4:$C$11,2,0))</f>
        <v>0</v>
      </c>
      <c r="N163" s="103">
        <f>IF(ISBLANK(I163),0,VLOOKUP(I163,Справочник!$A$4:$C$11,2,0))</f>
        <v>0</v>
      </c>
      <c r="O163" s="103">
        <f>IF(ISBLANK(F163),0,VLOOKUP(F163,Справочник!$A$4:$C$11,2,0))</f>
        <v>0</v>
      </c>
      <c r="P163" s="103">
        <f>IF(ISBLANK(G163),0,VLOOKUP(G163,Справочник!$A$1:$C$11,2,0))</f>
        <v>0</v>
      </c>
      <c r="Q163" s="103">
        <f>IF(ISBLANK(H163),0,VLOOKUP(H163,Справочник!$A$4:$C$11,3,0))</f>
        <v>0</v>
      </c>
      <c r="R163" s="103">
        <f>IF(ISBLANK(I163),0,VLOOKUP(I163,Справочник!$A$4:$C$11,3,0))</f>
        <v>0</v>
      </c>
      <c r="S163" s="103">
        <f>IF(ISBLANK(F163),0,VLOOKUP(F163,Справочник!$A$4:$C$11,3,0))</f>
        <v>0</v>
      </c>
      <c r="T163" s="103">
        <f>IF(ISBLANK(G163),0,VLOOKUP(G163,Справочник!$A$4:$C$11,3,0))</f>
        <v>0</v>
      </c>
      <c r="U163" s="103">
        <f>IF(ISBLANK(J163),0,VLOOKUP(J163,Справочник!$E$4:$F$7,2,0))</f>
        <v>0</v>
      </c>
      <c r="V163" s="104">
        <f t="shared" si="4"/>
        <v>0</v>
      </c>
      <c r="W163" s="104">
        <f t="shared" si="5"/>
        <v>0</v>
      </c>
      <c r="X163" s="102"/>
      <c r="Y163" s="101"/>
      <c r="Z163" s="101"/>
      <c r="AA163" s="101"/>
      <c r="AB163" s="101"/>
    </row>
    <row r="164" spans="1:28" x14ac:dyDescent="0.45">
      <c r="A164" s="21">
        <v>155</v>
      </c>
      <c r="B164" s="99"/>
      <c r="C164" s="96"/>
      <c r="D164" s="96"/>
      <c r="E164" s="97"/>
      <c r="F164" s="98"/>
      <c r="G164" s="98"/>
      <c r="H164" s="98"/>
      <c r="I164" s="98"/>
      <c r="J164" s="98"/>
      <c r="K164" s="99"/>
      <c r="L164" s="102"/>
      <c r="M164" s="103">
        <f>IF(ISBLANK(H164),0,VLOOKUP(H164,Справочник!$A$4:$C$11,2,0))</f>
        <v>0</v>
      </c>
      <c r="N164" s="103">
        <f>IF(ISBLANK(I164),0,VLOOKUP(I164,Справочник!$A$4:$C$11,2,0))</f>
        <v>0</v>
      </c>
      <c r="O164" s="103">
        <f>IF(ISBLANK(F164),0,VLOOKUP(F164,Справочник!$A$4:$C$11,2,0))</f>
        <v>0</v>
      </c>
      <c r="P164" s="103">
        <f>IF(ISBLANK(G164),0,VLOOKUP(G164,Справочник!$A$1:$C$11,2,0))</f>
        <v>0</v>
      </c>
      <c r="Q164" s="103">
        <f>IF(ISBLANK(H164),0,VLOOKUP(H164,Справочник!$A$4:$C$11,3,0))</f>
        <v>0</v>
      </c>
      <c r="R164" s="103">
        <f>IF(ISBLANK(I164),0,VLOOKUP(I164,Справочник!$A$4:$C$11,3,0))</f>
        <v>0</v>
      </c>
      <c r="S164" s="103">
        <f>IF(ISBLANK(F164),0,VLOOKUP(F164,Справочник!$A$4:$C$11,3,0))</f>
        <v>0</v>
      </c>
      <c r="T164" s="103">
        <f>IF(ISBLANK(G164),0,VLOOKUP(G164,Справочник!$A$4:$C$11,3,0))</f>
        <v>0</v>
      </c>
      <c r="U164" s="103">
        <f>IF(ISBLANK(J164),0,VLOOKUP(J164,Справочник!$E$4:$F$7,2,0))</f>
        <v>0</v>
      </c>
      <c r="V164" s="104">
        <f t="shared" ref="V164:V194" si="6">((C164*2+D164*2)/1000)*E164</f>
        <v>0</v>
      </c>
      <c r="W164" s="104">
        <f t="shared" ref="W164:W194" si="7">((C164+D164*2)/1000)*E164</f>
        <v>0</v>
      </c>
      <c r="X164" s="102"/>
      <c r="Y164" s="101"/>
      <c r="Z164" s="101"/>
      <c r="AA164" s="101"/>
      <c r="AB164" s="101"/>
    </row>
    <row r="165" spans="1:28" x14ac:dyDescent="0.45">
      <c r="A165" s="23">
        <v>156</v>
      </c>
      <c r="B165" s="99"/>
      <c r="C165" s="96"/>
      <c r="D165" s="96"/>
      <c r="E165" s="97"/>
      <c r="F165" s="98"/>
      <c r="G165" s="98"/>
      <c r="H165" s="98"/>
      <c r="I165" s="98"/>
      <c r="J165" s="98"/>
      <c r="K165" s="99"/>
      <c r="L165" s="102"/>
      <c r="M165" s="103">
        <f>IF(ISBLANK(H165),0,VLOOKUP(H165,Справочник!$A$4:$C$11,2,0))</f>
        <v>0</v>
      </c>
      <c r="N165" s="103">
        <f>IF(ISBLANK(I165),0,VLOOKUP(I165,Справочник!$A$4:$C$11,2,0))</f>
        <v>0</v>
      </c>
      <c r="O165" s="103">
        <f>IF(ISBLANK(F165),0,VLOOKUP(F165,Справочник!$A$4:$C$11,2,0))</f>
        <v>0</v>
      </c>
      <c r="P165" s="103">
        <f>IF(ISBLANK(G165),0,VLOOKUP(G165,Справочник!$A$1:$C$11,2,0))</f>
        <v>0</v>
      </c>
      <c r="Q165" s="103">
        <f>IF(ISBLANK(H165),0,VLOOKUP(H165,Справочник!$A$4:$C$11,3,0))</f>
        <v>0</v>
      </c>
      <c r="R165" s="103">
        <f>IF(ISBLANK(I165),0,VLOOKUP(I165,Справочник!$A$4:$C$11,3,0))</f>
        <v>0</v>
      </c>
      <c r="S165" s="103">
        <f>IF(ISBLANK(F165),0,VLOOKUP(F165,Справочник!$A$4:$C$11,3,0))</f>
        <v>0</v>
      </c>
      <c r="T165" s="103">
        <f>IF(ISBLANK(G165),0,VLOOKUP(G165,Справочник!$A$4:$C$11,3,0))</f>
        <v>0</v>
      </c>
      <c r="U165" s="103">
        <f>IF(ISBLANK(J165),0,VLOOKUP(J165,Справочник!$E$4:$F$7,2,0))</f>
        <v>0</v>
      </c>
      <c r="V165" s="104">
        <f t="shared" si="6"/>
        <v>0</v>
      </c>
      <c r="W165" s="104">
        <f t="shared" si="7"/>
        <v>0</v>
      </c>
      <c r="X165" s="102"/>
      <c r="Y165" s="101"/>
      <c r="Z165" s="101"/>
      <c r="AA165" s="101"/>
      <c r="AB165" s="101"/>
    </row>
    <row r="166" spans="1:28" x14ac:dyDescent="0.45">
      <c r="A166" s="21">
        <v>157</v>
      </c>
      <c r="B166" s="99"/>
      <c r="C166" s="96"/>
      <c r="D166" s="96"/>
      <c r="E166" s="97"/>
      <c r="F166" s="98"/>
      <c r="G166" s="98"/>
      <c r="H166" s="98"/>
      <c r="I166" s="98"/>
      <c r="J166" s="98"/>
      <c r="K166" s="99"/>
      <c r="L166" s="102"/>
      <c r="M166" s="103">
        <f>IF(ISBLANK(H166),0,VLOOKUP(H166,Справочник!$A$4:$C$11,2,0))</f>
        <v>0</v>
      </c>
      <c r="N166" s="103">
        <f>IF(ISBLANK(I166),0,VLOOKUP(I166,Справочник!$A$4:$C$11,2,0))</f>
        <v>0</v>
      </c>
      <c r="O166" s="103">
        <f>IF(ISBLANK(F166),0,VLOOKUP(F166,Справочник!$A$4:$C$11,2,0))</f>
        <v>0</v>
      </c>
      <c r="P166" s="103">
        <f>IF(ISBLANK(G166),0,VLOOKUP(G166,Справочник!$A$1:$C$11,2,0))</f>
        <v>0</v>
      </c>
      <c r="Q166" s="103">
        <f>IF(ISBLANK(H166),0,VLOOKUP(H166,Справочник!$A$4:$C$11,3,0))</f>
        <v>0</v>
      </c>
      <c r="R166" s="103">
        <f>IF(ISBLANK(I166),0,VLOOKUP(I166,Справочник!$A$4:$C$11,3,0))</f>
        <v>0</v>
      </c>
      <c r="S166" s="103">
        <f>IF(ISBLANK(F166),0,VLOOKUP(F166,Справочник!$A$4:$C$11,3,0))</f>
        <v>0</v>
      </c>
      <c r="T166" s="103">
        <f>IF(ISBLANK(G166),0,VLOOKUP(G166,Справочник!$A$4:$C$11,3,0))</f>
        <v>0</v>
      </c>
      <c r="U166" s="103">
        <f>IF(ISBLANK(J166),0,VLOOKUP(J166,Справочник!$E$4:$F$7,2,0))</f>
        <v>0</v>
      </c>
      <c r="V166" s="104">
        <f t="shared" si="6"/>
        <v>0</v>
      </c>
      <c r="W166" s="104">
        <f t="shared" si="7"/>
        <v>0</v>
      </c>
      <c r="X166" s="102"/>
      <c r="Y166" s="101"/>
      <c r="Z166" s="101"/>
      <c r="AA166" s="101"/>
      <c r="AB166" s="101"/>
    </row>
    <row r="167" spans="1:28" x14ac:dyDescent="0.45">
      <c r="A167" s="21">
        <v>158</v>
      </c>
      <c r="B167" s="99"/>
      <c r="C167" s="96"/>
      <c r="D167" s="96"/>
      <c r="E167" s="97"/>
      <c r="F167" s="98"/>
      <c r="G167" s="98"/>
      <c r="H167" s="98"/>
      <c r="I167" s="98"/>
      <c r="J167" s="98"/>
      <c r="K167" s="99"/>
      <c r="L167" s="102"/>
      <c r="M167" s="103">
        <f>IF(ISBLANK(H167),0,VLOOKUP(H167,Справочник!$A$4:$C$11,2,0))</f>
        <v>0</v>
      </c>
      <c r="N167" s="103">
        <f>IF(ISBLANK(I167),0,VLOOKUP(I167,Справочник!$A$4:$C$11,2,0))</f>
        <v>0</v>
      </c>
      <c r="O167" s="103">
        <f>IF(ISBLANK(F167),0,VLOOKUP(F167,Справочник!$A$4:$C$11,2,0))</f>
        <v>0</v>
      </c>
      <c r="P167" s="103">
        <f>IF(ISBLANK(G167),0,VLOOKUP(G167,Справочник!$A$1:$C$11,2,0))</f>
        <v>0</v>
      </c>
      <c r="Q167" s="103">
        <f>IF(ISBLANK(H167),0,VLOOKUP(H167,Справочник!$A$4:$C$11,3,0))</f>
        <v>0</v>
      </c>
      <c r="R167" s="103">
        <f>IF(ISBLANK(I167),0,VLOOKUP(I167,Справочник!$A$4:$C$11,3,0))</f>
        <v>0</v>
      </c>
      <c r="S167" s="103">
        <f>IF(ISBLANK(F167),0,VLOOKUP(F167,Справочник!$A$4:$C$11,3,0))</f>
        <v>0</v>
      </c>
      <c r="T167" s="103">
        <f>IF(ISBLANK(G167),0,VLOOKUP(G167,Справочник!$A$4:$C$11,3,0))</f>
        <v>0</v>
      </c>
      <c r="U167" s="103">
        <f>IF(ISBLANK(J167),0,VLOOKUP(J167,Справочник!$E$4:$F$7,2,0))</f>
        <v>0</v>
      </c>
      <c r="V167" s="104">
        <f t="shared" si="6"/>
        <v>0</v>
      </c>
      <c r="W167" s="104">
        <f t="shared" si="7"/>
        <v>0</v>
      </c>
      <c r="X167" s="102"/>
      <c r="Y167" s="101"/>
      <c r="Z167" s="101"/>
      <c r="AA167" s="101"/>
      <c r="AB167" s="101"/>
    </row>
    <row r="168" spans="1:28" x14ac:dyDescent="0.45">
      <c r="A168" s="23">
        <v>159</v>
      </c>
      <c r="B168" s="99"/>
      <c r="C168" s="96"/>
      <c r="D168" s="96"/>
      <c r="E168" s="97"/>
      <c r="F168" s="98"/>
      <c r="G168" s="98"/>
      <c r="H168" s="98"/>
      <c r="I168" s="98"/>
      <c r="J168" s="98"/>
      <c r="K168" s="99"/>
      <c r="L168" s="102"/>
      <c r="M168" s="103">
        <f>IF(ISBLANK(H168),0,VLOOKUP(H168,Справочник!$A$4:$C$11,2,0))</f>
        <v>0</v>
      </c>
      <c r="N168" s="103">
        <f>IF(ISBLANK(I168),0,VLOOKUP(I168,Справочник!$A$4:$C$11,2,0))</f>
        <v>0</v>
      </c>
      <c r="O168" s="103">
        <f>IF(ISBLANK(F168),0,VLOOKUP(F168,Справочник!$A$4:$C$11,2,0))</f>
        <v>0</v>
      </c>
      <c r="P168" s="103">
        <f>IF(ISBLANK(G168),0,VLOOKUP(G168,Справочник!$A$1:$C$11,2,0))</f>
        <v>0</v>
      </c>
      <c r="Q168" s="103">
        <f>IF(ISBLANK(H168),0,VLOOKUP(H168,Справочник!$A$4:$C$11,3,0))</f>
        <v>0</v>
      </c>
      <c r="R168" s="103">
        <f>IF(ISBLANK(I168),0,VLOOKUP(I168,Справочник!$A$4:$C$11,3,0))</f>
        <v>0</v>
      </c>
      <c r="S168" s="103">
        <f>IF(ISBLANK(F168),0,VLOOKUP(F168,Справочник!$A$4:$C$11,3,0))</f>
        <v>0</v>
      </c>
      <c r="T168" s="103">
        <f>IF(ISBLANK(G168),0,VLOOKUP(G168,Справочник!$A$4:$C$11,3,0))</f>
        <v>0</v>
      </c>
      <c r="U168" s="103">
        <f>IF(ISBLANK(J168),0,VLOOKUP(J168,Справочник!$E$4:$F$7,2,0))</f>
        <v>0</v>
      </c>
      <c r="V168" s="104">
        <f t="shared" si="6"/>
        <v>0</v>
      </c>
      <c r="W168" s="104">
        <f t="shared" si="7"/>
        <v>0</v>
      </c>
      <c r="X168" s="102"/>
      <c r="Y168" s="101"/>
      <c r="Z168" s="101"/>
      <c r="AA168" s="101"/>
      <c r="AB168" s="101"/>
    </row>
    <row r="169" spans="1:28" x14ac:dyDescent="0.45">
      <c r="A169" s="21">
        <v>160</v>
      </c>
      <c r="B169" s="99"/>
      <c r="C169" s="96"/>
      <c r="D169" s="96"/>
      <c r="E169" s="97"/>
      <c r="F169" s="98"/>
      <c r="G169" s="98"/>
      <c r="H169" s="98"/>
      <c r="I169" s="98"/>
      <c r="J169" s="98"/>
      <c r="K169" s="99"/>
      <c r="L169" s="102"/>
      <c r="M169" s="103">
        <f>IF(ISBLANK(H169),0,VLOOKUP(H169,Справочник!$A$4:$C$11,2,0))</f>
        <v>0</v>
      </c>
      <c r="N169" s="103">
        <f>IF(ISBLANK(I169),0,VLOOKUP(I169,Справочник!$A$4:$C$11,2,0))</f>
        <v>0</v>
      </c>
      <c r="O169" s="103">
        <f>IF(ISBLANK(F169),0,VLOOKUP(F169,Справочник!$A$4:$C$11,2,0))</f>
        <v>0</v>
      </c>
      <c r="P169" s="103">
        <f>IF(ISBLANK(G169),0,VLOOKUP(G169,Справочник!$A$1:$C$11,2,0))</f>
        <v>0</v>
      </c>
      <c r="Q169" s="103">
        <f>IF(ISBLANK(H169),0,VLOOKUP(H169,Справочник!$A$4:$C$11,3,0))</f>
        <v>0</v>
      </c>
      <c r="R169" s="103">
        <f>IF(ISBLANK(I169),0,VLOOKUP(I169,Справочник!$A$4:$C$11,3,0))</f>
        <v>0</v>
      </c>
      <c r="S169" s="103">
        <f>IF(ISBLANK(F169),0,VLOOKUP(F169,Справочник!$A$4:$C$11,3,0))</f>
        <v>0</v>
      </c>
      <c r="T169" s="103">
        <f>IF(ISBLANK(G169),0,VLOOKUP(G169,Справочник!$A$4:$C$11,3,0))</f>
        <v>0</v>
      </c>
      <c r="U169" s="103">
        <f>IF(ISBLANK(J169),0,VLOOKUP(J169,Справочник!$E$4:$F$7,2,0))</f>
        <v>0</v>
      </c>
      <c r="V169" s="104">
        <f t="shared" si="6"/>
        <v>0</v>
      </c>
      <c r="W169" s="104">
        <f t="shared" si="7"/>
        <v>0</v>
      </c>
      <c r="X169" s="102"/>
      <c r="Y169" s="101"/>
      <c r="Z169" s="101"/>
      <c r="AA169" s="101"/>
      <c r="AB169" s="101"/>
    </row>
    <row r="170" spans="1:28" x14ac:dyDescent="0.45">
      <c r="A170" s="21">
        <v>161</v>
      </c>
      <c r="B170" s="99"/>
      <c r="C170" s="96"/>
      <c r="D170" s="96"/>
      <c r="E170" s="97"/>
      <c r="F170" s="98"/>
      <c r="G170" s="98"/>
      <c r="H170" s="98"/>
      <c r="I170" s="98"/>
      <c r="J170" s="98"/>
      <c r="K170" s="99"/>
      <c r="L170" s="102"/>
      <c r="M170" s="103">
        <f>IF(ISBLANK(H170),0,VLOOKUP(H170,Справочник!$A$4:$C$11,2,0))</f>
        <v>0</v>
      </c>
      <c r="N170" s="103">
        <f>IF(ISBLANK(I170),0,VLOOKUP(I170,Справочник!$A$4:$C$11,2,0))</f>
        <v>0</v>
      </c>
      <c r="O170" s="103">
        <f>IF(ISBLANK(F170),0,VLOOKUP(F170,Справочник!$A$4:$C$11,2,0))</f>
        <v>0</v>
      </c>
      <c r="P170" s="103">
        <f>IF(ISBLANK(G170),0,VLOOKUP(G170,Справочник!$A$1:$C$11,2,0))</f>
        <v>0</v>
      </c>
      <c r="Q170" s="103">
        <f>IF(ISBLANK(H170),0,VLOOKUP(H170,Справочник!$A$4:$C$11,3,0))</f>
        <v>0</v>
      </c>
      <c r="R170" s="103">
        <f>IF(ISBLANK(I170),0,VLOOKUP(I170,Справочник!$A$4:$C$11,3,0))</f>
        <v>0</v>
      </c>
      <c r="S170" s="103">
        <f>IF(ISBLANK(F170),0,VLOOKUP(F170,Справочник!$A$4:$C$11,3,0))</f>
        <v>0</v>
      </c>
      <c r="T170" s="103">
        <f>IF(ISBLANK(G170),0,VLOOKUP(G170,Справочник!$A$4:$C$11,3,0))</f>
        <v>0</v>
      </c>
      <c r="U170" s="103">
        <f>IF(ISBLANK(J170),0,VLOOKUP(J170,Справочник!$E$4:$F$7,2,0))</f>
        <v>0</v>
      </c>
      <c r="V170" s="104">
        <f t="shared" si="6"/>
        <v>0</v>
      </c>
      <c r="W170" s="104">
        <f t="shared" si="7"/>
        <v>0</v>
      </c>
      <c r="X170" s="102"/>
      <c r="Y170" s="101"/>
      <c r="Z170" s="101"/>
      <c r="AA170" s="101"/>
      <c r="AB170" s="101"/>
    </row>
    <row r="171" spans="1:28" x14ac:dyDescent="0.45">
      <c r="A171" s="23">
        <v>162</v>
      </c>
      <c r="B171" s="99"/>
      <c r="C171" s="96"/>
      <c r="D171" s="96"/>
      <c r="E171" s="97"/>
      <c r="F171" s="98"/>
      <c r="G171" s="98"/>
      <c r="H171" s="98"/>
      <c r="I171" s="98"/>
      <c r="J171" s="98"/>
      <c r="K171" s="99"/>
      <c r="L171" s="102"/>
      <c r="M171" s="103">
        <f>IF(ISBLANK(H171),0,VLOOKUP(H171,Справочник!$A$4:$C$11,2,0))</f>
        <v>0</v>
      </c>
      <c r="N171" s="103">
        <f>IF(ISBLANK(I171),0,VLOOKUP(I171,Справочник!$A$4:$C$11,2,0))</f>
        <v>0</v>
      </c>
      <c r="O171" s="103">
        <f>IF(ISBLANK(F171),0,VLOOKUP(F171,Справочник!$A$4:$C$11,2,0))</f>
        <v>0</v>
      </c>
      <c r="P171" s="103">
        <f>IF(ISBLANK(G171),0,VLOOKUP(G171,Справочник!$A$1:$C$11,2,0))</f>
        <v>0</v>
      </c>
      <c r="Q171" s="103">
        <f>IF(ISBLANK(H171),0,VLOOKUP(H171,Справочник!$A$4:$C$11,3,0))</f>
        <v>0</v>
      </c>
      <c r="R171" s="103">
        <f>IF(ISBLANK(I171),0,VLOOKUP(I171,Справочник!$A$4:$C$11,3,0))</f>
        <v>0</v>
      </c>
      <c r="S171" s="103">
        <f>IF(ISBLANK(F171),0,VLOOKUP(F171,Справочник!$A$4:$C$11,3,0))</f>
        <v>0</v>
      </c>
      <c r="T171" s="103">
        <f>IF(ISBLANK(G171),0,VLOOKUP(G171,Справочник!$A$4:$C$11,3,0))</f>
        <v>0</v>
      </c>
      <c r="U171" s="103">
        <f>IF(ISBLANK(J171),0,VLOOKUP(J171,Справочник!$E$4:$F$7,2,0))</f>
        <v>0</v>
      </c>
      <c r="V171" s="104">
        <f t="shared" si="6"/>
        <v>0</v>
      </c>
      <c r="W171" s="104">
        <f t="shared" si="7"/>
        <v>0</v>
      </c>
      <c r="X171" s="102"/>
      <c r="Y171" s="101"/>
      <c r="Z171" s="101"/>
      <c r="AA171" s="101"/>
      <c r="AB171" s="101"/>
    </row>
    <row r="172" spans="1:28" x14ac:dyDescent="0.45">
      <c r="A172" s="21">
        <v>163</v>
      </c>
      <c r="B172" s="99"/>
      <c r="C172" s="96"/>
      <c r="D172" s="96"/>
      <c r="E172" s="97"/>
      <c r="F172" s="98"/>
      <c r="G172" s="98"/>
      <c r="H172" s="98"/>
      <c r="I172" s="98"/>
      <c r="J172" s="98"/>
      <c r="K172" s="99"/>
      <c r="L172" s="102"/>
      <c r="M172" s="103">
        <f>IF(ISBLANK(H172),0,VLOOKUP(H172,Справочник!$A$4:$C$11,2,0))</f>
        <v>0</v>
      </c>
      <c r="N172" s="103">
        <f>IF(ISBLANK(I172),0,VLOOKUP(I172,Справочник!$A$4:$C$11,2,0))</f>
        <v>0</v>
      </c>
      <c r="O172" s="103">
        <f>IF(ISBLANK(F172),0,VLOOKUP(F172,Справочник!$A$4:$C$11,2,0))</f>
        <v>0</v>
      </c>
      <c r="P172" s="103">
        <f>IF(ISBLANK(G172),0,VLOOKUP(G172,Справочник!$A$1:$C$11,2,0))</f>
        <v>0</v>
      </c>
      <c r="Q172" s="103">
        <f>IF(ISBLANK(H172),0,VLOOKUP(H172,Справочник!$A$4:$C$11,3,0))</f>
        <v>0</v>
      </c>
      <c r="R172" s="103">
        <f>IF(ISBLANK(I172),0,VLOOKUP(I172,Справочник!$A$4:$C$11,3,0))</f>
        <v>0</v>
      </c>
      <c r="S172" s="103">
        <f>IF(ISBLANK(F172),0,VLOOKUP(F172,Справочник!$A$4:$C$11,3,0))</f>
        <v>0</v>
      </c>
      <c r="T172" s="103">
        <f>IF(ISBLANK(G172),0,VLOOKUP(G172,Справочник!$A$4:$C$11,3,0))</f>
        <v>0</v>
      </c>
      <c r="U172" s="103">
        <f>IF(ISBLANK(J172),0,VLOOKUP(J172,Справочник!$E$4:$F$7,2,0))</f>
        <v>0</v>
      </c>
      <c r="V172" s="104">
        <f t="shared" si="6"/>
        <v>0</v>
      </c>
      <c r="W172" s="104">
        <f t="shared" si="7"/>
        <v>0</v>
      </c>
      <c r="X172" s="102"/>
      <c r="Y172" s="101"/>
      <c r="Z172" s="101"/>
      <c r="AA172" s="101"/>
      <c r="AB172" s="101"/>
    </row>
    <row r="173" spans="1:28" x14ac:dyDescent="0.45">
      <c r="A173" s="21">
        <v>164</v>
      </c>
      <c r="B173" s="99"/>
      <c r="C173" s="96"/>
      <c r="D173" s="96"/>
      <c r="E173" s="97"/>
      <c r="F173" s="98"/>
      <c r="G173" s="98"/>
      <c r="H173" s="98"/>
      <c r="I173" s="98"/>
      <c r="J173" s="98"/>
      <c r="K173" s="99"/>
      <c r="L173" s="102"/>
      <c r="M173" s="103">
        <f>IF(ISBLANK(H173),0,VLOOKUP(H173,Справочник!$A$4:$C$11,2,0))</f>
        <v>0</v>
      </c>
      <c r="N173" s="103">
        <f>IF(ISBLANK(I173),0,VLOOKUP(I173,Справочник!$A$4:$C$11,2,0))</f>
        <v>0</v>
      </c>
      <c r="O173" s="103">
        <f>IF(ISBLANK(F173),0,VLOOKUP(F173,Справочник!$A$4:$C$11,2,0))</f>
        <v>0</v>
      </c>
      <c r="P173" s="103">
        <f>IF(ISBLANK(G173),0,VLOOKUP(G173,Справочник!$A$1:$C$11,2,0))</f>
        <v>0</v>
      </c>
      <c r="Q173" s="103">
        <f>IF(ISBLANK(H173),0,VLOOKUP(H173,Справочник!$A$4:$C$11,3,0))</f>
        <v>0</v>
      </c>
      <c r="R173" s="103">
        <f>IF(ISBLANK(I173),0,VLOOKUP(I173,Справочник!$A$4:$C$11,3,0))</f>
        <v>0</v>
      </c>
      <c r="S173" s="103">
        <f>IF(ISBLANK(F173),0,VLOOKUP(F173,Справочник!$A$4:$C$11,3,0))</f>
        <v>0</v>
      </c>
      <c r="T173" s="103">
        <f>IF(ISBLANK(G173),0,VLOOKUP(G173,Справочник!$A$4:$C$11,3,0))</f>
        <v>0</v>
      </c>
      <c r="U173" s="103">
        <f>IF(ISBLANK(J173),0,VLOOKUP(J173,Справочник!$E$4:$F$7,2,0))</f>
        <v>0</v>
      </c>
      <c r="V173" s="104">
        <f t="shared" si="6"/>
        <v>0</v>
      </c>
      <c r="W173" s="104">
        <f t="shared" si="7"/>
        <v>0</v>
      </c>
      <c r="X173" s="102"/>
      <c r="Y173" s="101"/>
      <c r="Z173" s="101"/>
      <c r="AA173" s="101"/>
      <c r="AB173" s="101"/>
    </row>
    <row r="174" spans="1:28" x14ac:dyDescent="0.45">
      <c r="A174" s="23">
        <v>165</v>
      </c>
      <c r="B174" s="99"/>
      <c r="C174" s="96"/>
      <c r="D174" s="96"/>
      <c r="E174" s="97"/>
      <c r="F174" s="98"/>
      <c r="G174" s="98"/>
      <c r="H174" s="98"/>
      <c r="I174" s="98"/>
      <c r="J174" s="98"/>
      <c r="K174" s="99"/>
      <c r="L174" s="102"/>
      <c r="M174" s="103">
        <f>IF(ISBLANK(H174),0,VLOOKUP(H174,Справочник!$A$4:$C$11,2,0))</f>
        <v>0</v>
      </c>
      <c r="N174" s="103">
        <f>IF(ISBLANK(I174),0,VLOOKUP(I174,Справочник!$A$4:$C$11,2,0))</f>
        <v>0</v>
      </c>
      <c r="O174" s="103">
        <f>IF(ISBLANK(F174),0,VLOOKUP(F174,Справочник!$A$4:$C$11,2,0))</f>
        <v>0</v>
      </c>
      <c r="P174" s="103">
        <f>IF(ISBLANK(G174),0,VLOOKUP(G174,Справочник!$A$1:$C$11,2,0))</f>
        <v>0</v>
      </c>
      <c r="Q174" s="103">
        <f>IF(ISBLANK(H174),0,VLOOKUP(H174,Справочник!$A$4:$C$11,3,0))</f>
        <v>0</v>
      </c>
      <c r="R174" s="103">
        <f>IF(ISBLANK(I174),0,VLOOKUP(I174,Справочник!$A$4:$C$11,3,0))</f>
        <v>0</v>
      </c>
      <c r="S174" s="103">
        <f>IF(ISBLANK(F174),0,VLOOKUP(F174,Справочник!$A$4:$C$11,3,0))</f>
        <v>0</v>
      </c>
      <c r="T174" s="103">
        <f>IF(ISBLANK(G174),0,VLOOKUP(G174,Справочник!$A$4:$C$11,3,0))</f>
        <v>0</v>
      </c>
      <c r="U174" s="103">
        <f>IF(ISBLANK(J174),0,VLOOKUP(J174,Справочник!$E$4:$F$7,2,0))</f>
        <v>0</v>
      </c>
      <c r="V174" s="104">
        <f t="shared" si="6"/>
        <v>0</v>
      </c>
      <c r="W174" s="104">
        <f t="shared" si="7"/>
        <v>0</v>
      </c>
      <c r="X174" s="102"/>
      <c r="Y174" s="101"/>
      <c r="Z174" s="101"/>
      <c r="AA174" s="101"/>
      <c r="AB174" s="101"/>
    </row>
    <row r="175" spans="1:28" x14ac:dyDescent="0.45">
      <c r="A175" s="21">
        <v>166</v>
      </c>
      <c r="B175" s="99"/>
      <c r="C175" s="96"/>
      <c r="D175" s="96"/>
      <c r="E175" s="97"/>
      <c r="F175" s="98"/>
      <c r="G175" s="98"/>
      <c r="H175" s="98"/>
      <c r="I175" s="98"/>
      <c r="J175" s="98"/>
      <c r="K175" s="99"/>
      <c r="L175" s="102"/>
      <c r="M175" s="103">
        <f>IF(ISBLANK(H175),0,VLOOKUP(H175,Справочник!$A$4:$C$11,2,0))</f>
        <v>0</v>
      </c>
      <c r="N175" s="103">
        <f>IF(ISBLANK(I175),0,VLOOKUP(I175,Справочник!$A$4:$C$11,2,0))</f>
        <v>0</v>
      </c>
      <c r="O175" s="103">
        <f>IF(ISBLANK(F175),0,VLOOKUP(F175,Справочник!$A$4:$C$11,2,0))</f>
        <v>0</v>
      </c>
      <c r="P175" s="103">
        <f>IF(ISBLANK(G175),0,VLOOKUP(G175,Справочник!$A$1:$C$11,2,0))</f>
        <v>0</v>
      </c>
      <c r="Q175" s="103">
        <f>IF(ISBLANK(H175),0,VLOOKUP(H175,Справочник!$A$4:$C$11,3,0))</f>
        <v>0</v>
      </c>
      <c r="R175" s="103">
        <f>IF(ISBLANK(I175),0,VLOOKUP(I175,Справочник!$A$4:$C$11,3,0))</f>
        <v>0</v>
      </c>
      <c r="S175" s="103">
        <f>IF(ISBLANK(F175),0,VLOOKUP(F175,Справочник!$A$4:$C$11,3,0))</f>
        <v>0</v>
      </c>
      <c r="T175" s="103">
        <f>IF(ISBLANK(G175),0,VLOOKUP(G175,Справочник!$A$4:$C$11,3,0))</f>
        <v>0</v>
      </c>
      <c r="U175" s="103">
        <f>IF(ISBLANK(J175),0,VLOOKUP(J175,Справочник!$E$4:$F$7,2,0))</f>
        <v>0</v>
      </c>
      <c r="V175" s="104">
        <f t="shared" si="6"/>
        <v>0</v>
      </c>
      <c r="W175" s="104">
        <f t="shared" si="7"/>
        <v>0</v>
      </c>
      <c r="X175" s="102"/>
      <c r="Y175" s="101"/>
      <c r="Z175" s="101"/>
      <c r="AA175" s="101"/>
      <c r="AB175" s="101"/>
    </row>
    <row r="176" spans="1:28" x14ac:dyDescent="0.45">
      <c r="A176" s="21">
        <v>167</v>
      </c>
      <c r="B176" s="99"/>
      <c r="C176" s="96"/>
      <c r="D176" s="96"/>
      <c r="E176" s="97"/>
      <c r="F176" s="98"/>
      <c r="G176" s="98"/>
      <c r="H176" s="98"/>
      <c r="I176" s="98"/>
      <c r="J176" s="98"/>
      <c r="K176" s="99"/>
      <c r="L176" s="102"/>
      <c r="M176" s="103">
        <f>IF(ISBLANK(H176),0,VLOOKUP(H176,Справочник!$A$4:$C$11,2,0))</f>
        <v>0</v>
      </c>
      <c r="N176" s="103">
        <f>IF(ISBLANK(I176),0,VLOOKUP(I176,Справочник!$A$4:$C$11,2,0))</f>
        <v>0</v>
      </c>
      <c r="O176" s="103">
        <f>IF(ISBLANK(F176),0,VLOOKUP(F176,Справочник!$A$4:$C$11,2,0))</f>
        <v>0</v>
      </c>
      <c r="P176" s="103">
        <f>IF(ISBLANK(G176),0,VLOOKUP(G176,Справочник!$A$1:$C$11,2,0))</f>
        <v>0</v>
      </c>
      <c r="Q176" s="103">
        <f>IF(ISBLANK(H176),0,VLOOKUP(H176,Справочник!$A$4:$C$11,3,0))</f>
        <v>0</v>
      </c>
      <c r="R176" s="103">
        <f>IF(ISBLANK(I176),0,VLOOKUP(I176,Справочник!$A$4:$C$11,3,0))</f>
        <v>0</v>
      </c>
      <c r="S176" s="103">
        <f>IF(ISBLANK(F176),0,VLOOKUP(F176,Справочник!$A$4:$C$11,3,0))</f>
        <v>0</v>
      </c>
      <c r="T176" s="103">
        <f>IF(ISBLANK(G176),0,VLOOKUP(G176,Справочник!$A$4:$C$11,3,0))</f>
        <v>0</v>
      </c>
      <c r="U176" s="103">
        <f>IF(ISBLANK(J176),0,VLOOKUP(J176,Справочник!$E$4:$F$7,2,0))</f>
        <v>0</v>
      </c>
      <c r="V176" s="104">
        <f t="shared" si="6"/>
        <v>0</v>
      </c>
      <c r="W176" s="104">
        <f t="shared" si="7"/>
        <v>0</v>
      </c>
      <c r="X176" s="102"/>
      <c r="Y176" s="101"/>
      <c r="Z176" s="101"/>
      <c r="AA176" s="101"/>
      <c r="AB176" s="101"/>
    </row>
    <row r="177" spans="1:28" x14ac:dyDescent="0.45">
      <c r="A177" s="23">
        <v>168</v>
      </c>
      <c r="B177" s="99"/>
      <c r="C177" s="96"/>
      <c r="D177" s="96"/>
      <c r="E177" s="97"/>
      <c r="F177" s="98"/>
      <c r="G177" s="98"/>
      <c r="H177" s="98"/>
      <c r="I177" s="98"/>
      <c r="J177" s="98"/>
      <c r="K177" s="99"/>
      <c r="L177" s="102"/>
      <c r="M177" s="103">
        <f>IF(ISBLANK(H177),0,VLOOKUP(H177,Справочник!$A$4:$C$11,2,0))</f>
        <v>0</v>
      </c>
      <c r="N177" s="103">
        <f>IF(ISBLANK(I177),0,VLOOKUP(I177,Справочник!$A$4:$C$11,2,0))</f>
        <v>0</v>
      </c>
      <c r="O177" s="103">
        <f>IF(ISBLANK(F177),0,VLOOKUP(F177,Справочник!$A$4:$C$11,2,0))</f>
        <v>0</v>
      </c>
      <c r="P177" s="103">
        <f>IF(ISBLANK(G177),0,VLOOKUP(G177,Справочник!$A$1:$C$11,2,0))</f>
        <v>0</v>
      </c>
      <c r="Q177" s="103">
        <f>IF(ISBLANK(H177),0,VLOOKUP(H177,Справочник!$A$4:$C$11,3,0))</f>
        <v>0</v>
      </c>
      <c r="R177" s="103">
        <f>IF(ISBLANK(I177),0,VLOOKUP(I177,Справочник!$A$4:$C$11,3,0))</f>
        <v>0</v>
      </c>
      <c r="S177" s="103">
        <f>IF(ISBLANK(F177),0,VLOOKUP(F177,Справочник!$A$4:$C$11,3,0))</f>
        <v>0</v>
      </c>
      <c r="T177" s="103">
        <f>IF(ISBLANK(G177),0,VLOOKUP(G177,Справочник!$A$4:$C$11,3,0))</f>
        <v>0</v>
      </c>
      <c r="U177" s="103">
        <f>IF(ISBLANK(J177),0,VLOOKUP(J177,Справочник!$E$4:$F$7,2,0))</f>
        <v>0</v>
      </c>
      <c r="V177" s="104">
        <f t="shared" si="6"/>
        <v>0</v>
      </c>
      <c r="W177" s="104">
        <f t="shared" si="7"/>
        <v>0</v>
      </c>
      <c r="X177" s="102"/>
      <c r="Y177" s="101"/>
      <c r="Z177" s="101"/>
      <c r="AA177" s="101"/>
      <c r="AB177" s="101"/>
    </row>
    <row r="178" spans="1:28" x14ac:dyDescent="0.45">
      <c r="A178" s="21">
        <v>169</v>
      </c>
      <c r="B178" s="99"/>
      <c r="C178" s="96"/>
      <c r="D178" s="96"/>
      <c r="E178" s="97"/>
      <c r="F178" s="98"/>
      <c r="G178" s="98"/>
      <c r="H178" s="98"/>
      <c r="I178" s="98"/>
      <c r="J178" s="98"/>
      <c r="K178" s="99"/>
      <c r="L178" s="102"/>
      <c r="M178" s="103">
        <f>IF(ISBLANK(H178),0,VLOOKUP(H178,Справочник!$A$4:$C$11,2,0))</f>
        <v>0</v>
      </c>
      <c r="N178" s="103">
        <f>IF(ISBLANK(I178),0,VLOOKUP(I178,Справочник!$A$4:$C$11,2,0))</f>
        <v>0</v>
      </c>
      <c r="O178" s="103">
        <f>IF(ISBLANK(F178),0,VLOOKUP(F178,Справочник!$A$4:$C$11,2,0))</f>
        <v>0</v>
      </c>
      <c r="P178" s="103">
        <f>IF(ISBLANK(G178),0,VLOOKUP(G178,Справочник!$A$1:$C$11,2,0))</f>
        <v>0</v>
      </c>
      <c r="Q178" s="103">
        <f>IF(ISBLANK(H178),0,VLOOKUP(H178,Справочник!$A$4:$C$11,3,0))</f>
        <v>0</v>
      </c>
      <c r="R178" s="103">
        <f>IF(ISBLANK(I178),0,VLOOKUP(I178,Справочник!$A$4:$C$11,3,0))</f>
        <v>0</v>
      </c>
      <c r="S178" s="103">
        <f>IF(ISBLANK(F178),0,VLOOKUP(F178,Справочник!$A$4:$C$11,3,0))</f>
        <v>0</v>
      </c>
      <c r="T178" s="103">
        <f>IF(ISBLANK(G178),0,VLOOKUP(G178,Справочник!$A$4:$C$11,3,0))</f>
        <v>0</v>
      </c>
      <c r="U178" s="103">
        <f>IF(ISBLANK(J178),0,VLOOKUP(J178,Справочник!$E$4:$F$7,2,0))</f>
        <v>0</v>
      </c>
      <c r="V178" s="104">
        <f t="shared" si="6"/>
        <v>0</v>
      </c>
      <c r="W178" s="104">
        <f t="shared" si="7"/>
        <v>0</v>
      </c>
      <c r="X178" s="102"/>
      <c r="Y178" s="101"/>
      <c r="Z178" s="101"/>
      <c r="AA178" s="101"/>
      <c r="AB178" s="101"/>
    </row>
    <row r="179" spans="1:28" x14ac:dyDescent="0.45">
      <c r="A179" s="21">
        <v>170</v>
      </c>
      <c r="B179" s="99"/>
      <c r="C179" s="96"/>
      <c r="D179" s="96"/>
      <c r="E179" s="97"/>
      <c r="F179" s="98"/>
      <c r="G179" s="98"/>
      <c r="H179" s="98"/>
      <c r="I179" s="98"/>
      <c r="J179" s="98"/>
      <c r="K179" s="99"/>
      <c r="L179" s="102"/>
      <c r="M179" s="103">
        <f>IF(ISBLANK(H179),0,VLOOKUP(H179,Справочник!$A$4:$C$11,2,0))</f>
        <v>0</v>
      </c>
      <c r="N179" s="103">
        <f>IF(ISBLANK(I179),0,VLOOKUP(I179,Справочник!$A$4:$C$11,2,0))</f>
        <v>0</v>
      </c>
      <c r="O179" s="103">
        <f>IF(ISBLANK(F179),0,VLOOKUP(F179,Справочник!$A$4:$C$11,2,0))</f>
        <v>0</v>
      </c>
      <c r="P179" s="103">
        <f>IF(ISBLANK(G179),0,VLOOKUP(G179,Справочник!$A$1:$C$11,2,0))</f>
        <v>0</v>
      </c>
      <c r="Q179" s="103">
        <f>IF(ISBLANK(H179),0,VLOOKUP(H179,Справочник!$A$4:$C$11,3,0))</f>
        <v>0</v>
      </c>
      <c r="R179" s="103">
        <f>IF(ISBLANK(I179),0,VLOOKUP(I179,Справочник!$A$4:$C$11,3,0))</f>
        <v>0</v>
      </c>
      <c r="S179" s="103">
        <f>IF(ISBLANK(F179),0,VLOOKUP(F179,Справочник!$A$4:$C$11,3,0))</f>
        <v>0</v>
      </c>
      <c r="T179" s="103">
        <f>IF(ISBLANK(G179),0,VLOOKUP(G179,Справочник!$A$4:$C$11,3,0))</f>
        <v>0</v>
      </c>
      <c r="U179" s="103">
        <f>IF(ISBLANK(J179),0,VLOOKUP(J179,Справочник!$E$4:$F$7,2,0))</f>
        <v>0</v>
      </c>
      <c r="V179" s="104">
        <f t="shared" si="6"/>
        <v>0</v>
      </c>
      <c r="W179" s="104">
        <f t="shared" si="7"/>
        <v>0</v>
      </c>
      <c r="X179" s="102"/>
      <c r="Y179" s="101"/>
      <c r="Z179" s="101"/>
      <c r="AA179" s="101"/>
      <c r="AB179" s="101"/>
    </row>
    <row r="180" spans="1:28" x14ac:dyDescent="0.45">
      <c r="A180" s="23">
        <v>171</v>
      </c>
      <c r="B180" s="99"/>
      <c r="C180" s="96"/>
      <c r="D180" s="96"/>
      <c r="E180" s="97"/>
      <c r="F180" s="98"/>
      <c r="G180" s="98"/>
      <c r="H180" s="98"/>
      <c r="I180" s="98"/>
      <c r="J180" s="98"/>
      <c r="K180" s="99"/>
      <c r="L180" s="102"/>
      <c r="M180" s="103">
        <f>IF(ISBLANK(H180),0,VLOOKUP(H180,Справочник!$A$4:$C$11,2,0))</f>
        <v>0</v>
      </c>
      <c r="N180" s="103">
        <f>IF(ISBLANK(I180),0,VLOOKUP(I180,Справочник!$A$4:$C$11,2,0))</f>
        <v>0</v>
      </c>
      <c r="O180" s="103">
        <f>IF(ISBLANK(F180),0,VLOOKUP(F180,Справочник!$A$4:$C$11,2,0))</f>
        <v>0</v>
      </c>
      <c r="P180" s="103">
        <f>IF(ISBLANK(G180),0,VLOOKUP(G180,Справочник!$A$1:$C$11,2,0))</f>
        <v>0</v>
      </c>
      <c r="Q180" s="103">
        <f>IF(ISBLANK(H180),0,VLOOKUP(H180,Справочник!$A$4:$C$11,3,0))</f>
        <v>0</v>
      </c>
      <c r="R180" s="103">
        <f>IF(ISBLANK(I180),0,VLOOKUP(I180,Справочник!$A$4:$C$11,3,0))</f>
        <v>0</v>
      </c>
      <c r="S180" s="103">
        <f>IF(ISBLANK(F180),0,VLOOKUP(F180,Справочник!$A$4:$C$11,3,0))</f>
        <v>0</v>
      </c>
      <c r="T180" s="103">
        <f>IF(ISBLANK(G180),0,VLOOKUP(G180,Справочник!$A$4:$C$11,3,0))</f>
        <v>0</v>
      </c>
      <c r="U180" s="103">
        <f>IF(ISBLANK(J180),0,VLOOKUP(J180,Справочник!$E$4:$F$7,2,0))</f>
        <v>0</v>
      </c>
      <c r="V180" s="104">
        <f t="shared" si="6"/>
        <v>0</v>
      </c>
      <c r="W180" s="104">
        <f t="shared" si="7"/>
        <v>0</v>
      </c>
      <c r="X180" s="102"/>
      <c r="Y180" s="101"/>
      <c r="Z180" s="101"/>
      <c r="AA180" s="101"/>
      <c r="AB180" s="101"/>
    </row>
    <row r="181" spans="1:28" x14ac:dyDescent="0.45">
      <c r="A181" s="21">
        <v>172</v>
      </c>
      <c r="B181" s="99"/>
      <c r="C181" s="96"/>
      <c r="D181" s="96"/>
      <c r="E181" s="97"/>
      <c r="F181" s="98"/>
      <c r="G181" s="98"/>
      <c r="H181" s="98"/>
      <c r="I181" s="98"/>
      <c r="J181" s="98"/>
      <c r="K181" s="99"/>
      <c r="L181" s="102"/>
      <c r="M181" s="103">
        <f>IF(ISBLANK(H181),0,VLOOKUP(H181,Справочник!$A$4:$C$11,2,0))</f>
        <v>0</v>
      </c>
      <c r="N181" s="103">
        <f>IF(ISBLANK(I181),0,VLOOKUP(I181,Справочник!$A$4:$C$11,2,0))</f>
        <v>0</v>
      </c>
      <c r="O181" s="103">
        <f>IF(ISBLANK(F181),0,VLOOKUP(F181,Справочник!$A$4:$C$11,2,0))</f>
        <v>0</v>
      </c>
      <c r="P181" s="103">
        <f>IF(ISBLANK(G181),0,VLOOKUP(G181,Справочник!$A$1:$C$11,2,0))</f>
        <v>0</v>
      </c>
      <c r="Q181" s="103">
        <f>IF(ISBLANK(H181),0,VLOOKUP(H181,Справочник!$A$4:$C$11,3,0))</f>
        <v>0</v>
      </c>
      <c r="R181" s="103">
        <f>IF(ISBLANK(I181),0,VLOOKUP(I181,Справочник!$A$4:$C$11,3,0))</f>
        <v>0</v>
      </c>
      <c r="S181" s="103">
        <f>IF(ISBLANK(F181),0,VLOOKUP(F181,Справочник!$A$4:$C$11,3,0))</f>
        <v>0</v>
      </c>
      <c r="T181" s="103">
        <f>IF(ISBLANK(G181),0,VLOOKUP(G181,Справочник!$A$4:$C$11,3,0))</f>
        <v>0</v>
      </c>
      <c r="U181" s="103">
        <f>IF(ISBLANK(J181),0,VLOOKUP(J181,Справочник!$E$4:$F$7,2,0))</f>
        <v>0</v>
      </c>
      <c r="V181" s="104">
        <f t="shared" si="6"/>
        <v>0</v>
      </c>
      <c r="W181" s="104">
        <f t="shared" si="7"/>
        <v>0</v>
      </c>
      <c r="X181" s="102"/>
      <c r="Y181" s="101"/>
      <c r="Z181" s="101"/>
      <c r="AA181" s="101"/>
      <c r="AB181" s="101"/>
    </row>
    <row r="182" spans="1:28" x14ac:dyDescent="0.45">
      <c r="A182" s="21">
        <v>173</v>
      </c>
      <c r="B182" s="99"/>
      <c r="C182" s="96"/>
      <c r="D182" s="96"/>
      <c r="E182" s="97"/>
      <c r="F182" s="98"/>
      <c r="G182" s="98"/>
      <c r="H182" s="98"/>
      <c r="I182" s="98"/>
      <c r="J182" s="98"/>
      <c r="K182" s="99"/>
      <c r="L182" s="102"/>
      <c r="M182" s="103">
        <f>IF(ISBLANK(H182),0,VLOOKUP(H182,Справочник!$A$4:$C$11,2,0))</f>
        <v>0</v>
      </c>
      <c r="N182" s="103">
        <f>IF(ISBLANK(I182),0,VLOOKUP(I182,Справочник!$A$4:$C$11,2,0))</f>
        <v>0</v>
      </c>
      <c r="O182" s="103">
        <f>IF(ISBLANK(F182),0,VLOOKUP(F182,Справочник!$A$4:$C$11,2,0))</f>
        <v>0</v>
      </c>
      <c r="P182" s="103">
        <f>IF(ISBLANK(G182),0,VLOOKUP(G182,Справочник!$A$1:$C$11,2,0))</f>
        <v>0</v>
      </c>
      <c r="Q182" s="103">
        <f>IF(ISBLANK(H182),0,VLOOKUP(H182,Справочник!$A$4:$C$11,3,0))</f>
        <v>0</v>
      </c>
      <c r="R182" s="103">
        <f>IF(ISBLANK(I182),0,VLOOKUP(I182,Справочник!$A$4:$C$11,3,0))</f>
        <v>0</v>
      </c>
      <c r="S182" s="103">
        <f>IF(ISBLANK(F182),0,VLOOKUP(F182,Справочник!$A$4:$C$11,3,0))</f>
        <v>0</v>
      </c>
      <c r="T182" s="103">
        <f>IF(ISBLANK(G182),0,VLOOKUP(G182,Справочник!$A$4:$C$11,3,0))</f>
        <v>0</v>
      </c>
      <c r="U182" s="103">
        <f>IF(ISBLANK(J182),0,VLOOKUP(J182,Справочник!$E$4:$F$7,2,0))</f>
        <v>0</v>
      </c>
      <c r="V182" s="104">
        <f t="shared" si="6"/>
        <v>0</v>
      </c>
      <c r="W182" s="104">
        <f t="shared" si="7"/>
        <v>0</v>
      </c>
      <c r="X182" s="102"/>
      <c r="Y182" s="101"/>
      <c r="Z182" s="101"/>
      <c r="AA182" s="101"/>
      <c r="AB182" s="101"/>
    </row>
    <row r="183" spans="1:28" x14ac:dyDescent="0.45">
      <c r="A183" s="23">
        <v>174</v>
      </c>
      <c r="B183" s="99"/>
      <c r="C183" s="96"/>
      <c r="D183" s="96"/>
      <c r="E183" s="97"/>
      <c r="F183" s="98"/>
      <c r="G183" s="98"/>
      <c r="H183" s="98"/>
      <c r="I183" s="98"/>
      <c r="J183" s="98"/>
      <c r="K183" s="99"/>
      <c r="L183" s="102"/>
      <c r="M183" s="103">
        <f>IF(ISBLANK(H183),0,VLOOKUP(H183,Справочник!$A$4:$C$11,2,0))</f>
        <v>0</v>
      </c>
      <c r="N183" s="103">
        <f>IF(ISBLANK(I183),0,VLOOKUP(I183,Справочник!$A$4:$C$11,2,0))</f>
        <v>0</v>
      </c>
      <c r="O183" s="103">
        <f>IF(ISBLANK(F183),0,VLOOKUP(F183,Справочник!$A$4:$C$11,2,0))</f>
        <v>0</v>
      </c>
      <c r="P183" s="103">
        <f>IF(ISBLANK(G183),0,VLOOKUP(G183,Справочник!$A$1:$C$11,2,0))</f>
        <v>0</v>
      </c>
      <c r="Q183" s="103">
        <f>IF(ISBLANK(H183),0,VLOOKUP(H183,Справочник!$A$4:$C$11,3,0))</f>
        <v>0</v>
      </c>
      <c r="R183" s="103">
        <f>IF(ISBLANK(I183),0,VLOOKUP(I183,Справочник!$A$4:$C$11,3,0))</f>
        <v>0</v>
      </c>
      <c r="S183" s="103">
        <f>IF(ISBLANK(F183),0,VLOOKUP(F183,Справочник!$A$4:$C$11,3,0))</f>
        <v>0</v>
      </c>
      <c r="T183" s="103">
        <f>IF(ISBLANK(G183),0,VLOOKUP(G183,Справочник!$A$4:$C$11,3,0))</f>
        <v>0</v>
      </c>
      <c r="U183" s="103">
        <f>IF(ISBLANK(J183),0,VLOOKUP(J183,Справочник!$E$4:$F$7,2,0))</f>
        <v>0</v>
      </c>
      <c r="V183" s="104">
        <f t="shared" si="6"/>
        <v>0</v>
      </c>
      <c r="W183" s="104">
        <f t="shared" si="7"/>
        <v>0</v>
      </c>
      <c r="X183" s="102"/>
      <c r="Y183" s="101"/>
      <c r="Z183" s="101"/>
      <c r="AA183" s="101"/>
      <c r="AB183" s="101"/>
    </row>
    <row r="184" spans="1:28" x14ac:dyDescent="0.45">
      <c r="A184" s="21">
        <v>175</v>
      </c>
      <c r="B184" s="99"/>
      <c r="C184" s="96"/>
      <c r="D184" s="96"/>
      <c r="E184" s="97"/>
      <c r="F184" s="98"/>
      <c r="G184" s="98"/>
      <c r="H184" s="98"/>
      <c r="I184" s="98"/>
      <c r="J184" s="98"/>
      <c r="K184" s="99"/>
      <c r="L184" s="102"/>
      <c r="M184" s="103">
        <f>IF(ISBLANK(H184),0,VLOOKUP(H184,Справочник!$A$4:$C$11,2,0))</f>
        <v>0</v>
      </c>
      <c r="N184" s="103">
        <f>IF(ISBLANK(I184),0,VLOOKUP(I184,Справочник!$A$4:$C$11,2,0))</f>
        <v>0</v>
      </c>
      <c r="O184" s="103">
        <f>IF(ISBLANK(F184),0,VLOOKUP(F184,Справочник!$A$4:$C$11,2,0))</f>
        <v>0</v>
      </c>
      <c r="P184" s="103">
        <f>IF(ISBLANK(G184),0,VLOOKUP(G184,Справочник!$A$1:$C$11,2,0))</f>
        <v>0</v>
      </c>
      <c r="Q184" s="103">
        <f>IF(ISBLANK(H184),0,VLOOKUP(H184,Справочник!$A$4:$C$11,3,0))</f>
        <v>0</v>
      </c>
      <c r="R184" s="103">
        <f>IF(ISBLANK(I184),0,VLOOKUP(I184,Справочник!$A$4:$C$11,3,0))</f>
        <v>0</v>
      </c>
      <c r="S184" s="103">
        <f>IF(ISBLANK(F184),0,VLOOKUP(F184,Справочник!$A$4:$C$11,3,0))</f>
        <v>0</v>
      </c>
      <c r="T184" s="103">
        <f>IF(ISBLANK(G184),0,VLOOKUP(G184,Справочник!$A$4:$C$11,3,0))</f>
        <v>0</v>
      </c>
      <c r="U184" s="103">
        <f>IF(ISBLANK(J184),0,VLOOKUP(J184,Справочник!$E$4:$F$7,2,0))</f>
        <v>0</v>
      </c>
      <c r="V184" s="104">
        <f t="shared" si="6"/>
        <v>0</v>
      </c>
      <c r="W184" s="104">
        <f t="shared" si="7"/>
        <v>0</v>
      </c>
      <c r="X184" s="102"/>
      <c r="Y184" s="101"/>
      <c r="Z184" s="101"/>
      <c r="AA184" s="101"/>
      <c r="AB184" s="101"/>
    </row>
    <row r="185" spans="1:28" x14ac:dyDescent="0.45">
      <c r="A185" s="21">
        <v>176</v>
      </c>
      <c r="B185" s="99"/>
      <c r="C185" s="96"/>
      <c r="D185" s="96"/>
      <c r="E185" s="97"/>
      <c r="F185" s="98"/>
      <c r="G185" s="98"/>
      <c r="H185" s="98"/>
      <c r="I185" s="98"/>
      <c r="J185" s="98"/>
      <c r="K185" s="99"/>
      <c r="L185" s="102"/>
      <c r="M185" s="103">
        <f>IF(ISBLANK(H185),0,VLOOKUP(H185,Справочник!$A$4:$C$11,2,0))</f>
        <v>0</v>
      </c>
      <c r="N185" s="103">
        <f>IF(ISBLANK(I185),0,VLOOKUP(I185,Справочник!$A$4:$C$11,2,0))</f>
        <v>0</v>
      </c>
      <c r="O185" s="103">
        <f>IF(ISBLANK(F185),0,VLOOKUP(F185,Справочник!$A$4:$C$11,2,0))</f>
        <v>0</v>
      </c>
      <c r="P185" s="103">
        <f>IF(ISBLANK(G185),0,VLOOKUP(G185,Справочник!$A$1:$C$11,2,0))</f>
        <v>0</v>
      </c>
      <c r="Q185" s="103">
        <f>IF(ISBLANK(H185),0,VLOOKUP(H185,Справочник!$A$4:$C$11,3,0))</f>
        <v>0</v>
      </c>
      <c r="R185" s="103">
        <f>IF(ISBLANK(I185),0,VLOOKUP(I185,Справочник!$A$4:$C$11,3,0))</f>
        <v>0</v>
      </c>
      <c r="S185" s="103">
        <f>IF(ISBLANK(F185),0,VLOOKUP(F185,Справочник!$A$4:$C$11,3,0))</f>
        <v>0</v>
      </c>
      <c r="T185" s="103">
        <f>IF(ISBLANK(G185),0,VLOOKUP(G185,Справочник!$A$4:$C$11,3,0))</f>
        <v>0</v>
      </c>
      <c r="U185" s="103">
        <f>IF(ISBLANK(J185),0,VLOOKUP(J185,Справочник!$E$4:$F$7,2,0))</f>
        <v>0</v>
      </c>
      <c r="V185" s="104">
        <f t="shared" si="6"/>
        <v>0</v>
      </c>
      <c r="W185" s="104">
        <f t="shared" si="7"/>
        <v>0</v>
      </c>
      <c r="X185" s="102"/>
      <c r="Y185" s="101"/>
      <c r="Z185" s="101"/>
      <c r="AA185" s="101"/>
      <c r="AB185" s="101"/>
    </row>
    <row r="186" spans="1:28" x14ac:dyDescent="0.45">
      <c r="A186" s="23">
        <v>177</v>
      </c>
      <c r="B186" s="99"/>
      <c r="C186" s="96"/>
      <c r="D186" s="96"/>
      <c r="E186" s="97"/>
      <c r="F186" s="98"/>
      <c r="G186" s="98"/>
      <c r="H186" s="98"/>
      <c r="I186" s="98"/>
      <c r="J186" s="98"/>
      <c r="K186" s="99"/>
      <c r="L186" s="102"/>
      <c r="M186" s="103">
        <f>IF(ISBLANK(H186),0,VLOOKUP(H186,Справочник!$A$4:$C$11,2,0))</f>
        <v>0</v>
      </c>
      <c r="N186" s="103">
        <f>IF(ISBLANK(I186),0,VLOOKUP(I186,Справочник!$A$4:$C$11,2,0))</f>
        <v>0</v>
      </c>
      <c r="O186" s="103">
        <f>IF(ISBLANK(F186),0,VLOOKUP(F186,Справочник!$A$4:$C$11,2,0))</f>
        <v>0</v>
      </c>
      <c r="P186" s="103">
        <f>IF(ISBLANK(G186),0,VLOOKUP(G186,Справочник!$A$1:$C$11,2,0))</f>
        <v>0</v>
      </c>
      <c r="Q186" s="103">
        <f>IF(ISBLANK(H186),0,VLOOKUP(H186,Справочник!$A$4:$C$11,3,0))</f>
        <v>0</v>
      </c>
      <c r="R186" s="103">
        <f>IF(ISBLANK(I186),0,VLOOKUP(I186,Справочник!$A$4:$C$11,3,0))</f>
        <v>0</v>
      </c>
      <c r="S186" s="103">
        <f>IF(ISBLANK(F186),0,VLOOKUP(F186,Справочник!$A$4:$C$11,3,0))</f>
        <v>0</v>
      </c>
      <c r="T186" s="103">
        <f>IF(ISBLANK(G186),0,VLOOKUP(G186,Справочник!$A$4:$C$11,3,0))</f>
        <v>0</v>
      </c>
      <c r="U186" s="103">
        <f>IF(ISBLANK(J186),0,VLOOKUP(J186,Справочник!$E$4:$F$7,2,0))</f>
        <v>0</v>
      </c>
      <c r="V186" s="104">
        <f t="shared" si="6"/>
        <v>0</v>
      </c>
      <c r="W186" s="104">
        <f t="shared" si="7"/>
        <v>0</v>
      </c>
      <c r="X186" s="102"/>
      <c r="Y186" s="101"/>
      <c r="Z186" s="101"/>
      <c r="AA186" s="101"/>
      <c r="AB186" s="101"/>
    </row>
    <row r="187" spans="1:28" x14ac:dyDescent="0.45">
      <c r="A187" s="21">
        <v>178</v>
      </c>
      <c r="B187" s="99"/>
      <c r="C187" s="96"/>
      <c r="D187" s="96"/>
      <c r="E187" s="97"/>
      <c r="F187" s="98"/>
      <c r="G187" s="98"/>
      <c r="H187" s="98"/>
      <c r="I187" s="98"/>
      <c r="J187" s="98"/>
      <c r="K187" s="99"/>
      <c r="L187" s="102"/>
      <c r="M187" s="103">
        <f>IF(ISBLANK(H187),0,VLOOKUP(H187,Справочник!$A$4:$C$11,2,0))</f>
        <v>0</v>
      </c>
      <c r="N187" s="103">
        <f>IF(ISBLANK(I187),0,VLOOKUP(I187,Справочник!$A$4:$C$11,2,0))</f>
        <v>0</v>
      </c>
      <c r="O187" s="103">
        <f>IF(ISBLANK(F187),0,VLOOKUP(F187,Справочник!$A$4:$C$11,2,0))</f>
        <v>0</v>
      </c>
      <c r="P187" s="103">
        <f>IF(ISBLANK(G187),0,VLOOKUP(G187,Справочник!$A$1:$C$11,2,0))</f>
        <v>0</v>
      </c>
      <c r="Q187" s="103">
        <f>IF(ISBLANK(H187),0,VLOOKUP(H187,Справочник!$A$4:$C$11,3,0))</f>
        <v>0</v>
      </c>
      <c r="R187" s="103">
        <f>IF(ISBLANK(I187),0,VLOOKUP(I187,Справочник!$A$4:$C$11,3,0))</f>
        <v>0</v>
      </c>
      <c r="S187" s="103">
        <f>IF(ISBLANK(F187),0,VLOOKUP(F187,Справочник!$A$4:$C$11,3,0))</f>
        <v>0</v>
      </c>
      <c r="T187" s="103">
        <f>IF(ISBLANK(G187),0,VLOOKUP(G187,Справочник!$A$4:$C$11,3,0))</f>
        <v>0</v>
      </c>
      <c r="U187" s="103">
        <f>IF(ISBLANK(J187),0,VLOOKUP(J187,Справочник!$E$4:$F$7,2,0))</f>
        <v>0</v>
      </c>
      <c r="V187" s="104">
        <f t="shared" si="6"/>
        <v>0</v>
      </c>
      <c r="W187" s="104">
        <f t="shared" si="7"/>
        <v>0</v>
      </c>
      <c r="X187" s="102"/>
      <c r="Y187" s="101"/>
      <c r="Z187" s="101"/>
      <c r="AA187" s="101"/>
      <c r="AB187" s="101"/>
    </row>
    <row r="188" spans="1:28" x14ac:dyDescent="0.45">
      <c r="A188" s="21">
        <v>179</v>
      </c>
      <c r="B188" s="99"/>
      <c r="C188" s="96"/>
      <c r="D188" s="96"/>
      <c r="E188" s="97"/>
      <c r="F188" s="98"/>
      <c r="G188" s="98"/>
      <c r="H188" s="98"/>
      <c r="I188" s="98"/>
      <c r="J188" s="98"/>
      <c r="K188" s="99"/>
      <c r="L188" s="102"/>
      <c r="M188" s="103">
        <f>IF(ISBLANK(H188),0,VLOOKUP(H188,Справочник!$A$4:$C$11,2,0))</f>
        <v>0</v>
      </c>
      <c r="N188" s="103">
        <f>IF(ISBLANK(I188),0,VLOOKUP(I188,Справочник!$A$4:$C$11,2,0))</f>
        <v>0</v>
      </c>
      <c r="O188" s="103">
        <f>IF(ISBLANK(F188),0,VLOOKUP(F188,Справочник!$A$4:$C$11,2,0))</f>
        <v>0</v>
      </c>
      <c r="P188" s="103">
        <f>IF(ISBLANK(G188),0,VLOOKUP(G188,Справочник!$A$1:$C$11,2,0))</f>
        <v>0</v>
      </c>
      <c r="Q188" s="103">
        <f>IF(ISBLANK(H188),0,VLOOKUP(H188,Справочник!$A$4:$C$11,3,0))</f>
        <v>0</v>
      </c>
      <c r="R188" s="103">
        <f>IF(ISBLANK(I188),0,VLOOKUP(I188,Справочник!$A$4:$C$11,3,0))</f>
        <v>0</v>
      </c>
      <c r="S188" s="103">
        <f>IF(ISBLANK(F188),0,VLOOKUP(F188,Справочник!$A$4:$C$11,3,0))</f>
        <v>0</v>
      </c>
      <c r="T188" s="103">
        <f>IF(ISBLANK(G188),0,VLOOKUP(G188,Справочник!$A$4:$C$11,3,0))</f>
        <v>0</v>
      </c>
      <c r="U188" s="103">
        <f>IF(ISBLANK(J188),0,VLOOKUP(J188,Справочник!$E$4:$F$7,2,0))</f>
        <v>0</v>
      </c>
      <c r="V188" s="104">
        <f t="shared" si="6"/>
        <v>0</v>
      </c>
      <c r="W188" s="104">
        <f t="shared" si="7"/>
        <v>0</v>
      </c>
      <c r="X188" s="102"/>
      <c r="Y188" s="101"/>
      <c r="Z188" s="101"/>
      <c r="AA188" s="101"/>
      <c r="AB188" s="101"/>
    </row>
    <row r="189" spans="1:28" x14ac:dyDescent="0.45">
      <c r="A189" s="23">
        <v>180</v>
      </c>
      <c r="B189" s="99"/>
      <c r="C189" s="96"/>
      <c r="D189" s="96"/>
      <c r="E189" s="97"/>
      <c r="F189" s="98"/>
      <c r="G189" s="98"/>
      <c r="H189" s="98"/>
      <c r="I189" s="98"/>
      <c r="J189" s="98"/>
      <c r="K189" s="99"/>
      <c r="L189" s="102"/>
      <c r="M189" s="103">
        <f>IF(ISBLANK(H189),0,VLOOKUP(H189,Справочник!$A$4:$C$11,2,0))</f>
        <v>0</v>
      </c>
      <c r="N189" s="103">
        <f>IF(ISBLANK(I189),0,VLOOKUP(I189,Справочник!$A$4:$C$11,2,0))</f>
        <v>0</v>
      </c>
      <c r="O189" s="103">
        <f>IF(ISBLANK(F189),0,VLOOKUP(F189,Справочник!$A$4:$C$11,2,0))</f>
        <v>0</v>
      </c>
      <c r="P189" s="103">
        <f>IF(ISBLANK(G189),0,VLOOKUP(G189,Справочник!$A$1:$C$11,2,0))</f>
        <v>0</v>
      </c>
      <c r="Q189" s="103">
        <f>IF(ISBLANK(H189),0,VLOOKUP(H189,Справочник!$A$4:$C$11,3,0))</f>
        <v>0</v>
      </c>
      <c r="R189" s="103">
        <f>IF(ISBLANK(I189),0,VLOOKUP(I189,Справочник!$A$4:$C$11,3,0))</f>
        <v>0</v>
      </c>
      <c r="S189" s="103">
        <f>IF(ISBLANK(F189),0,VLOOKUP(F189,Справочник!$A$4:$C$11,3,0))</f>
        <v>0</v>
      </c>
      <c r="T189" s="103">
        <f>IF(ISBLANK(G189),0,VLOOKUP(G189,Справочник!$A$4:$C$11,3,0))</f>
        <v>0</v>
      </c>
      <c r="U189" s="103">
        <f>IF(ISBLANK(J189),0,VLOOKUP(J189,Справочник!$E$4:$F$7,2,0))</f>
        <v>0</v>
      </c>
      <c r="V189" s="104">
        <f t="shared" si="6"/>
        <v>0</v>
      </c>
      <c r="W189" s="104">
        <f t="shared" si="7"/>
        <v>0</v>
      </c>
      <c r="X189" s="102"/>
      <c r="Y189" s="101"/>
      <c r="Z189" s="101"/>
      <c r="AA189" s="101"/>
      <c r="AB189" s="101"/>
    </row>
    <row r="190" spans="1:28" x14ac:dyDescent="0.45">
      <c r="A190" s="21">
        <v>181</v>
      </c>
      <c r="B190" s="99"/>
      <c r="C190" s="96"/>
      <c r="D190" s="96"/>
      <c r="E190" s="97"/>
      <c r="F190" s="98"/>
      <c r="G190" s="98"/>
      <c r="H190" s="98"/>
      <c r="I190" s="98"/>
      <c r="J190" s="98"/>
      <c r="K190" s="99"/>
      <c r="L190" s="102"/>
      <c r="M190" s="103">
        <f>IF(ISBLANK(H190),0,VLOOKUP(H190,Справочник!$A$4:$C$11,2,0))</f>
        <v>0</v>
      </c>
      <c r="N190" s="103">
        <f>IF(ISBLANK(I190),0,VLOOKUP(I190,Справочник!$A$4:$C$11,2,0))</f>
        <v>0</v>
      </c>
      <c r="O190" s="103">
        <f>IF(ISBLANK(F190),0,VLOOKUP(F190,Справочник!$A$4:$C$11,2,0))</f>
        <v>0</v>
      </c>
      <c r="P190" s="103">
        <f>IF(ISBLANK(G190),0,VLOOKUP(G190,Справочник!$A$1:$C$11,2,0))</f>
        <v>0</v>
      </c>
      <c r="Q190" s="103">
        <f>IF(ISBLANK(H190),0,VLOOKUP(H190,Справочник!$A$4:$C$11,3,0))</f>
        <v>0</v>
      </c>
      <c r="R190" s="103">
        <f>IF(ISBLANK(I190),0,VLOOKUP(I190,Справочник!$A$4:$C$11,3,0))</f>
        <v>0</v>
      </c>
      <c r="S190" s="103">
        <f>IF(ISBLANK(F190),0,VLOOKUP(F190,Справочник!$A$4:$C$11,3,0))</f>
        <v>0</v>
      </c>
      <c r="T190" s="103">
        <f>IF(ISBLANK(G190),0,VLOOKUP(G190,Справочник!$A$4:$C$11,3,0))</f>
        <v>0</v>
      </c>
      <c r="U190" s="103">
        <f>IF(ISBLANK(J190),0,VLOOKUP(J190,Справочник!$E$4:$F$7,2,0))</f>
        <v>0</v>
      </c>
      <c r="V190" s="104">
        <f t="shared" si="6"/>
        <v>0</v>
      </c>
      <c r="W190" s="104">
        <f t="shared" si="7"/>
        <v>0</v>
      </c>
      <c r="X190" s="102"/>
      <c r="Y190" s="101"/>
      <c r="Z190" s="101"/>
      <c r="AA190" s="101"/>
      <c r="AB190" s="101"/>
    </row>
    <row r="191" spans="1:28" x14ac:dyDescent="0.45">
      <c r="A191" s="21">
        <v>182</v>
      </c>
      <c r="B191" s="99"/>
      <c r="C191" s="96"/>
      <c r="D191" s="96"/>
      <c r="E191" s="97"/>
      <c r="F191" s="98"/>
      <c r="G191" s="98"/>
      <c r="H191" s="98"/>
      <c r="I191" s="98"/>
      <c r="J191" s="98"/>
      <c r="K191" s="99"/>
      <c r="L191" s="102"/>
      <c r="M191" s="103">
        <f>IF(ISBLANK(H191),0,VLOOKUP(H191,Справочник!$A$4:$C$11,2,0))</f>
        <v>0</v>
      </c>
      <c r="N191" s="103">
        <f>IF(ISBLANK(I191),0,VLOOKUP(I191,Справочник!$A$4:$C$11,2,0))</f>
        <v>0</v>
      </c>
      <c r="O191" s="103">
        <f>IF(ISBLANK(F191),0,VLOOKUP(F191,Справочник!$A$4:$C$11,2,0))</f>
        <v>0</v>
      </c>
      <c r="P191" s="103">
        <f>IF(ISBLANK(G191),0,VLOOKUP(G191,Справочник!$A$1:$C$11,2,0))</f>
        <v>0</v>
      </c>
      <c r="Q191" s="103">
        <f>IF(ISBLANK(H191),0,VLOOKUP(H191,Справочник!$A$4:$C$11,3,0))</f>
        <v>0</v>
      </c>
      <c r="R191" s="103">
        <f>IF(ISBLANK(I191),0,VLOOKUP(I191,Справочник!$A$4:$C$11,3,0))</f>
        <v>0</v>
      </c>
      <c r="S191" s="103">
        <f>IF(ISBLANK(F191),0,VLOOKUP(F191,Справочник!$A$4:$C$11,3,0))</f>
        <v>0</v>
      </c>
      <c r="T191" s="103">
        <f>IF(ISBLANK(G191),0,VLOOKUP(G191,Справочник!$A$4:$C$11,3,0))</f>
        <v>0</v>
      </c>
      <c r="U191" s="103">
        <f>IF(ISBLANK(J191),0,VLOOKUP(J191,Справочник!$E$4:$F$7,2,0))</f>
        <v>0</v>
      </c>
      <c r="V191" s="104">
        <f t="shared" si="6"/>
        <v>0</v>
      </c>
      <c r="W191" s="104">
        <f t="shared" si="7"/>
        <v>0</v>
      </c>
      <c r="X191" s="102"/>
      <c r="Y191" s="101"/>
      <c r="Z191" s="101"/>
      <c r="AA191" s="101"/>
      <c r="AB191" s="101"/>
    </row>
    <row r="192" spans="1:28" x14ac:dyDescent="0.45">
      <c r="A192" s="23">
        <v>183</v>
      </c>
      <c r="B192" s="99"/>
      <c r="C192" s="96"/>
      <c r="D192" s="96"/>
      <c r="E192" s="97"/>
      <c r="F192" s="98"/>
      <c r="G192" s="98"/>
      <c r="H192" s="98"/>
      <c r="I192" s="98"/>
      <c r="J192" s="98"/>
      <c r="K192" s="99"/>
      <c r="L192" s="102"/>
      <c r="M192" s="103">
        <f>IF(ISBLANK(H192),0,VLOOKUP(H192,Справочник!$A$4:$C$11,2,0))</f>
        <v>0</v>
      </c>
      <c r="N192" s="103">
        <f>IF(ISBLANK(I192),0,VLOOKUP(I192,Справочник!$A$4:$C$11,2,0))</f>
        <v>0</v>
      </c>
      <c r="O192" s="103">
        <f>IF(ISBLANK(F192),0,VLOOKUP(F192,Справочник!$A$4:$C$11,2,0))</f>
        <v>0</v>
      </c>
      <c r="P192" s="103">
        <f>IF(ISBLANK(G192),0,VLOOKUP(G192,Справочник!$A$1:$C$11,2,0))</f>
        <v>0</v>
      </c>
      <c r="Q192" s="103">
        <f>IF(ISBLANK(H192),0,VLOOKUP(H192,Справочник!$A$4:$C$11,3,0))</f>
        <v>0</v>
      </c>
      <c r="R192" s="103">
        <f>IF(ISBLANK(I192),0,VLOOKUP(I192,Справочник!$A$4:$C$11,3,0))</f>
        <v>0</v>
      </c>
      <c r="S192" s="103">
        <f>IF(ISBLANK(F192),0,VLOOKUP(F192,Справочник!$A$4:$C$11,3,0))</f>
        <v>0</v>
      </c>
      <c r="T192" s="103">
        <f>IF(ISBLANK(G192),0,VLOOKUP(G192,Справочник!$A$4:$C$11,3,0))</f>
        <v>0</v>
      </c>
      <c r="U192" s="103">
        <f>IF(ISBLANK(J192),0,VLOOKUP(J192,Справочник!$E$4:$F$7,2,0))</f>
        <v>0</v>
      </c>
      <c r="V192" s="104">
        <f t="shared" si="6"/>
        <v>0</v>
      </c>
      <c r="W192" s="104">
        <f t="shared" si="7"/>
        <v>0</v>
      </c>
      <c r="X192" s="102"/>
      <c r="Y192" s="101"/>
      <c r="Z192" s="101"/>
      <c r="AA192" s="101"/>
      <c r="AB192" s="101"/>
    </row>
    <row r="193" spans="1:28" x14ac:dyDescent="0.45">
      <c r="A193" s="21">
        <v>184</v>
      </c>
      <c r="B193" s="99"/>
      <c r="C193" s="96"/>
      <c r="D193" s="96"/>
      <c r="E193" s="97"/>
      <c r="F193" s="98"/>
      <c r="G193" s="98"/>
      <c r="H193" s="98"/>
      <c r="I193" s="98"/>
      <c r="J193" s="98"/>
      <c r="K193" s="99"/>
      <c r="L193" s="102"/>
      <c r="M193" s="103">
        <f>IF(ISBLANK(H193),0,VLOOKUP(H193,Справочник!$A$4:$C$11,2,0))</f>
        <v>0</v>
      </c>
      <c r="N193" s="103">
        <f>IF(ISBLANK(I193),0,VLOOKUP(I193,Справочник!$A$4:$C$11,2,0))</f>
        <v>0</v>
      </c>
      <c r="O193" s="103">
        <f>IF(ISBLANK(F193),0,VLOOKUP(F193,Справочник!$A$4:$C$11,2,0))</f>
        <v>0</v>
      </c>
      <c r="P193" s="103">
        <f>IF(ISBLANK(G193),0,VLOOKUP(G193,Справочник!$A$1:$C$11,2,0))</f>
        <v>0</v>
      </c>
      <c r="Q193" s="103">
        <f>IF(ISBLANK(H193),0,VLOOKUP(H193,Справочник!$A$4:$C$11,3,0))</f>
        <v>0</v>
      </c>
      <c r="R193" s="103">
        <f>IF(ISBLANK(I193),0,VLOOKUP(I193,Справочник!$A$4:$C$11,3,0))</f>
        <v>0</v>
      </c>
      <c r="S193" s="103">
        <f>IF(ISBLANK(F193),0,VLOOKUP(F193,Справочник!$A$4:$C$11,3,0))</f>
        <v>0</v>
      </c>
      <c r="T193" s="103">
        <f>IF(ISBLANK(G193),0,VLOOKUP(G193,Справочник!$A$4:$C$11,3,0))</f>
        <v>0</v>
      </c>
      <c r="U193" s="103">
        <f>IF(ISBLANK(J193),0,VLOOKUP(J193,Справочник!$E$4:$F$7,2,0))</f>
        <v>0</v>
      </c>
      <c r="V193" s="104">
        <f t="shared" si="6"/>
        <v>0</v>
      </c>
      <c r="W193" s="104">
        <f t="shared" si="7"/>
        <v>0</v>
      </c>
      <c r="X193" s="102"/>
      <c r="Y193" s="101"/>
      <c r="Z193" s="101"/>
      <c r="AA193" s="101"/>
      <c r="AB193" s="101"/>
    </row>
    <row r="194" spans="1:28" x14ac:dyDescent="0.45">
      <c r="A194" s="21">
        <v>185</v>
      </c>
      <c r="B194" s="99"/>
      <c r="C194" s="96"/>
      <c r="D194" s="96"/>
      <c r="E194" s="97"/>
      <c r="F194" s="98"/>
      <c r="G194" s="98"/>
      <c r="H194" s="98"/>
      <c r="I194" s="98"/>
      <c r="J194" s="98"/>
      <c r="K194" s="99"/>
      <c r="L194" s="102"/>
      <c r="M194" s="103">
        <f>IF(ISBLANK(H194),0,VLOOKUP(H194,Справочник!$A$4:$C$11,2,0))</f>
        <v>0</v>
      </c>
      <c r="N194" s="103">
        <f>IF(ISBLANK(I194),0,VLOOKUP(I194,Справочник!$A$4:$C$11,2,0))</f>
        <v>0</v>
      </c>
      <c r="O194" s="103">
        <f>IF(ISBLANK(F194),0,VLOOKUP(F194,Справочник!$A$4:$C$11,2,0))</f>
        <v>0</v>
      </c>
      <c r="P194" s="103">
        <f>IF(ISBLANK(G194),0,VLOOKUP(G194,Справочник!$A$1:$C$11,2,0))</f>
        <v>0</v>
      </c>
      <c r="Q194" s="103">
        <f>IF(ISBLANK(H194),0,VLOOKUP(H194,Справочник!$A$4:$C$11,3,0))</f>
        <v>0</v>
      </c>
      <c r="R194" s="103">
        <f>IF(ISBLANK(I194),0,VLOOKUP(I194,Справочник!$A$4:$C$11,3,0))</f>
        <v>0</v>
      </c>
      <c r="S194" s="103">
        <f>IF(ISBLANK(F194),0,VLOOKUP(F194,Справочник!$A$4:$C$11,3,0))</f>
        <v>0</v>
      </c>
      <c r="T194" s="103">
        <f>IF(ISBLANK(G194),0,VLOOKUP(G194,Справочник!$A$4:$C$11,3,0))</f>
        <v>0</v>
      </c>
      <c r="U194" s="103">
        <f>IF(ISBLANK(J194),0,VLOOKUP(J194,Справочник!$E$4:$F$7,2,0))</f>
        <v>0</v>
      </c>
      <c r="V194" s="104">
        <f t="shared" si="6"/>
        <v>0</v>
      </c>
      <c r="W194" s="104">
        <f t="shared" si="7"/>
        <v>0</v>
      </c>
      <c r="X194" s="102"/>
      <c r="Y194" s="101"/>
      <c r="Z194" s="101"/>
      <c r="AA194" s="101"/>
      <c r="AB194" s="101"/>
    </row>
  </sheetData>
  <sheetProtection algorithmName="SHA-512" hashValue="Yi431gBfqRr+n2lS0GCw6Bd5pwJHa0hvtdrAhklLLs/eSuHVRQ3tqM0KYSg/qC35SPC0vRk2LyC7mGZtP7m5ow==" saltValue="RK8YuTgcUSXppEClHqBZCQ==" spinCount="100000" sheet="1" autoFilter="0"/>
  <protectedRanges>
    <protectedRange algorithmName="SHA-512" hashValue="eE9cHxoGvnJzgBGKedZvI4AXXHw1aLbZXc4NlZEV8K5K2qnGbbB7io9W3duCQivitPdCZJbygl4Bl+AKwA1OdA==" saltValue="ok9Nh7Fl1hPUhdejtbilvg==" spinCount="100000" sqref="C3:I3 H5:I5 AB1" name="Диапазон1"/>
  </protectedRanges>
  <autoFilter ref="C8:E9" xr:uid="{00000000-0009-0000-0000-000002000000}"/>
  <dataConsolidate/>
  <mergeCells count="21">
    <mergeCell ref="Y8:Z8"/>
    <mergeCell ref="AA8:AB8"/>
    <mergeCell ref="U8:U9"/>
    <mergeCell ref="Q8:T8"/>
    <mergeCell ref="A8:A9"/>
    <mergeCell ref="C8:C9"/>
    <mergeCell ref="D8:D9"/>
    <mergeCell ref="E8:E9"/>
    <mergeCell ref="J8:J9"/>
    <mergeCell ref="M8:P8"/>
    <mergeCell ref="K8:K9"/>
    <mergeCell ref="F8:G8"/>
    <mergeCell ref="H8:I8"/>
    <mergeCell ref="H5:I5"/>
    <mergeCell ref="B8:B9"/>
    <mergeCell ref="C4:D4"/>
    <mergeCell ref="E4:F4"/>
    <mergeCell ref="B6:I6"/>
    <mergeCell ref="B5:G5"/>
    <mergeCell ref="C3:I3"/>
    <mergeCell ref="G4:H4"/>
  </mergeCells>
  <phoneticPr fontId="17" type="noConversion"/>
  <conditionalFormatting sqref="C3:I3">
    <cfRule type="expression" dxfId="3" priority="3">
      <formula>$K$6&lt;&gt;""</formula>
    </cfRule>
  </conditionalFormatting>
  <conditionalFormatting sqref="F10:I194">
    <cfRule type="expression" dxfId="2" priority="5">
      <formula>AND(F10&lt;&gt;"",OR(ISNUMBER(SEARCH("СКЛ",$K10)),ISNUMBER(SEARCH("склей",$K10)),ISNUMBER(SEARCH("32*",$K10))),OR(F10=0,F10=1,F10=2,F10="0",F10="1",F10="2"))</formula>
    </cfRule>
  </conditionalFormatting>
  <conditionalFormatting sqref="I4">
    <cfRule type="expression" dxfId="1" priority="4">
      <formula>I4&lt;&gt;16</formula>
    </cfRule>
  </conditionalFormatting>
  <conditionalFormatting sqref="B6:I6">
    <cfRule type="expression" dxfId="0" priority="1">
      <formula>B6&lt;&gt;"в цвет материала, иначе указываем в примечании"</formula>
    </cfRule>
  </conditionalFormatting>
  <dataValidations xWindow="663" yWindow="381" count="5">
    <dataValidation allowBlank="1" showErrorMessage="1" promptTitle="Кромка по XX" prompt="Выберите кромку" sqref="L10:AB10 Y11:AB194 K11:K194" xr:uid="{00000000-0002-0000-0200-000000000000}"/>
    <dataValidation type="custom" allowBlank="1" showErrorMessage="1" errorTitle="Проверьте кромку" error="выберите кромку 0*35 или 1*35" promptTitle="Кромка по XX" prompt="Выберите кромку" sqref="K10" xr:uid="{2D13B55E-833A-43DD-B979-A91C61C2C26D}">
      <formula1>NOT(AND(OR(ISNUMBER(SEARCH("СКЛ",K10)),ISNUMBER(SEARCH("склей",K10)),ISNUMBER(SEARCH("32*",K10))),OR(F10=0,F10=1,F10=2,G10=0,G10=1,G10=2,H10=0,H10=1,H10=2,I10=0,I10=1,I10=2)))</formula1>
    </dataValidation>
    <dataValidation type="whole" operator="greaterThanOrEqual" allowBlank="1" showErrorMessage="1" errorTitle="микродеталь" error="Если размер менее 59 мм, нужно добавить 60 мм в размер (59+60) и в примечании написать - РПЛ 59. И если надо пишите докромить 1 мм/0.4мм" sqref="C10:D194" xr:uid="{6EEE25B4-9916-4A64-AD59-CA375711C0D2}">
      <formula1>59</formula1>
    </dataValidation>
    <dataValidation type="custom" errorStyle="information" allowBlank="1" showErrorMessage="1" errorTitle="Бланк сломался" error="Бланк сломался - скачайте новый у нас на сайте" sqref="A10:A194" xr:uid="{D58D5F0A-B97A-4FDF-A3D6-126C91F87950}">
      <formula1>$K$6=""</formula1>
    </dataValidation>
    <dataValidation type="custom" allowBlank="1" showErrorMessage="1" errorTitle="Бланк сломался" error="Бланк сломался - скачайте новый у нас на сайте" sqref="B10:B194" xr:uid="{A07D4FDA-609C-4D4A-86B1-895B015A674B}">
      <formula1>$K$6=""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663" yWindow="381" count="3">
        <x14:dataValidation type="list" xr:uid="{00000000-0002-0000-0200-000003000000}">
          <x14:formula1>
            <xm:f>Справочник!$E$4:$E$5</xm:f>
          </x14:formula1>
          <xm:sqref>J10:J194</xm:sqref>
        </x14:dataValidation>
        <x14:dataValidation type="list" errorStyle="information" promptTitle="Ошибка кромки" prompt="Для склейки выберите кромку из списка в формате 0,4х35мм" xr:uid="{00000000-0002-0000-0200-000004000000}">
          <x14:formula1>
            <xm:f>Справочник!$A$4:$A$20</xm:f>
          </x14:formula1>
          <xm:sqref>F10:I194</xm:sqref>
        </x14:dataValidation>
        <x14:dataValidation type="list" allowBlank="1" showInputMessage="1" showErrorMessage="1" xr:uid="{8645F1F8-B557-4C6D-A321-14A50D546073}">
          <x14:formula1>
            <xm:f>Справочник!$N$4:$N$15</xm:f>
          </x14:formula1>
          <xm:sqref>E4:F4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/>
  <dimension ref="A3:N20"/>
  <sheetViews>
    <sheetView zoomScale="85" zoomScaleNormal="85" workbookViewId="0">
      <selection activeCell="M20" sqref="M20"/>
    </sheetView>
  </sheetViews>
  <sheetFormatPr defaultColWidth="10" defaultRowHeight="14.25" x14ac:dyDescent="0.45"/>
  <cols>
    <col min="1" max="1" width="19.86328125" customWidth="1"/>
    <col min="2" max="3" width="12.73046875" customWidth="1"/>
    <col min="4" max="4" width="15.59765625" customWidth="1"/>
    <col min="5" max="5" width="26.73046875" bestFit="1" customWidth="1"/>
    <col min="8" max="8" width="26.1328125" bestFit="1" customWidth="1"/>
    <col min="10" max="10" width="3.86328125" customWidth="1"/>
    <col min="11" max="11" width="17.59765625" customWidth="1"/>
  </cols>
  <sheetData>
    <row r="3" spans="1:14" x14ac:dyDescent="0.45">
      <c r="A3" s="5" t="s">
        <v>33</v>
      </c>
      <c r="B3" s="5" t="s">
        <v>52</v>
      </c>
      <c r="C3" s="5"/>
      <c r="E3" s="66" t="s">
        <v>8</v>
      </c>
      <c r="F3" s="66"/>
      <c r="H3" s="66" t="s">
        <v>36</v>
      </c>
      <c r="I3" s="66"/>
    </row>
    <row r="4" spans="1:14" x14ac:dyDescent="0.45">
      <c r="A4" s="2"/>
      <c r="B4" s="3">
        <v>0</v>
      </c>
      <c r="C4" s="3">
        <v>0</v>
      </c>
      <c r="E4" s="3" t="s">
        <v>53</v>
      </c>
      <c r="F4" s="3">
        <v>0</v>
      </c>
      <c r="H4" s="3" t="s">
        <v>37</v>
      </c>
      <c r="I4" s="3">
        <v>0</v>
      </c>
      <c r="K4" s="2">
        <v>7</v>
      </c>
      <c r="L4" s="3">
        <v>0</v>
      </c>
      <c r="N4" s="50" t="s">
        <v>162</v>
      </c>
    </row>
    <row r="5" spans="1:14" x14ac:dyDescent="0.45">
      <c r="A5" s="3">
        <v>0.4</v>
      </c>
      <c r="B5" s="3">
        <v>0</v>
      </c>
      <c r="C5" s="3">
        <v>1</v>
      </c>
      <c r="D5" t="s">
        <v>141</v>
      </c>
      <c r="E5" s="3" t="s">
        <v>54</v>
      </c>
      <c r="F5" s="3">
        <v>1</v>
      </c>
      <c r="H5" s="3" t="s">
        <v>39</v>
      </c>
      <c r="I5" s="3">
        <v>1</v>
      </c>
      <c r="K5" s="3">
        <v>0.4</v>
      </c>
      <c r="L5" s="3">
        <v>0.5</v>
      </c>
      <c r="N5" t="s">
        <v>151</v>
      </c>
    </row>
    <row r="6" spans="1:14" x14ac:dyDescent="0.45">
      <c r="A6" s="3">
        <v>1</v>
      </c>
      <c r="B6" s="3">
        <v>8388608</v>
      </c>
      <c r="C6" s="3">
        <v>1</v>
      </c>
      <c r="D6" t="s">
        <v>82</v>
      </c>
      <c r="E6" s="3" t="s">
        <v>34</v>
      </c>
      <c r="F6" s="3">
        <v>2</v>
      </c>
      <c r="H6" s="3" t="s">
        <v>38</v>
      </c>
      <c r="I6" s="3">
        <v>2</v>
      </c>
      <c r="K6" s="3">
        <v>1</v>
      </c>
      <c r="L6" s="3">
        <v>1</v>
      </c>
      <c r="N6" t="s">
        <v>152</v>
      </c>
    </row>
    <row r="7" spans="1:14" x14ac:dyDescent="0.45">
      <c r="A7" s="3">
        <v>2</v>
      </c>
      <c r="B7" s="3">
        <v>128</v>
      </c>
      <c r="C7" s="3">
        <v>1</v>
      </c>
      <c r="D7" t="s">
        <v>83</v>
      </c>
      <c r="E7" s="3" t="s">
        <v>35</v>
      </c>
      <c r="F7" s="3">
        <v>3</v>
      </c>
      <c r="K7" s="3">
        <v>2</v>
      </c>
      <c r="L7" s="3">
        <v>2</v>
      </c>
      <c r="N7" t="s">
        <v>153</v>
      </c>
    </row>
    <row r="8" spans="1:14" x14ac:dyDescent="0.45">
      <c r="A8" s="2" t="s">
        <v>50</v>
      </c>
      <c r="B8" s="3">
        <v>32768</v>
      </c>
      <c r="C8" s="3">
        <v>1</v>
      </c>
      <c r="D8" t="s">
        <v>139</v>
      </c>
      <c r="K8" s="2" t="s">
        <v>50</v>
      </c>
      <c r="L8" s="3">
        <v>0.5</v>
      </c>
      <c r="N8" t="s">
        <v>154</v>
      </c>
    </row>
    <row r="9" spans="1:14" x14ac:dyDescent="0.45">
      <c r="A9" s="3" t="s">
        <v>85</v>
      </c>
      <c r="B9" s="3">
        <v>32896</v>
      </c>
      <c r="C9" s="3">
        <v>1</v>
      </c>
      <c r="D9" t="s">
        <v>81</v>
      </c>
      <c r="K9" s="3" t="s">
        <v>85</v>
      </c>
      <c r="L9" s="3">
        <v>1</v>
      </c>
      <c r="N9" t="s">
        <v>155</v>
      </c>
    </row>
    <row r="10" spans="1:14" x14ac:dyDescent="0.45">
      <c r="A10" s="3" t="s">
        <v>51</v>
      </c>
      <c r="B10" s="3">
        <v>32896</v>
      </c>
      <c r="C10" s="3">
        <v>1</v>
      </c>
      <c r="D10" t="s">
        <v>84</v>
      </c>
      <c r="K10" s="3" t="s">
        <v>51</v>
      </c>
      <c r="L10" s="3">
        <v>2</v>
      </c>
      <c r="N10" t="s">
        <v>156</v>
      </c>
    </row>
    <row r="11" spans="1:14" x14ac:dyDescent="0.45">
      <c r="A11" s="3">
        <v>0</v>
      </c>
      <c r="B11" s="3">
        <v>0</v>
      </c>
      <c r="C11" s="3">
        <v>1</v>
      </c>
      <c r="D11" t="s">
        <v>141</v>
      </c>
      <c r="K11" s="3">
        <v>0</v>
      </c>
      <c r="L11" s="3">
        <v>0.5</v>
      </c>
      <c r="N11" t="s">
        <v>157</v>
      </c>
    </row>
    <row r="12" spans="1:14" x14ac:dyDescent="0.45">
      <c r="A12" s="3" t="s">
        <v>115</v>
      </c>
      <c r="B12" s="3">
        <v>0</v>
      </c>
      <c r="C12" s="3">
        <v>1</v>
      </c>
      <c r="D12" t="s">
        <v>142</v>
      </c>
      <c r="K12" s="3" t="s">
        <v>115</v>
      </c>
      <c r="L12" s="3">
        <v>0.5</v>
      </c>
      <c r="N12" t="s">
        <v>158</v>
      </c>
    </row>
    <row r="13" spans="1:14" x14ac:dyDescent="0.45">
      <c r="A13" s="3" t="s">
        <v>116</v>
      </c>
      <c r="B13" s="3">
        <v>8388608</v>
      </c>
      <c r="C13" s="3">
        <v>1</v>
      </c>
      <c r="D13" t="s">
        <v>117</v>
      </c>
      <c r="K13" s="3" t="s">
        <v>116</v>
      </c>
      <c r="L13" s="3">
        <v>1</v>
      </c>
      <c r="N13" t="s">
        <v>159</v>
      </c>
    </row>
    <row r="14" spans="1:14" x14ac:dyDescent="0.45">
      <c r="A14" s="3" t="s">
        <v>118</v>
      </c>
      <c r="B14" s="3">
        <v>128</v>
      </c>
      <c r="C14" s="3">
        <v>1</v>
      </c>
      <c r="D14" t="s">
        <v>119</v>
      </c>
      <c r="K14" s="3" t="s">
        <v>118</v>
      </c>
      <c r="L14" s="3">
        <v>2</v>
      </c>
      <c r="N14" t="s">
        <v>160</v>
      </c>
    </row>
    <row r="15" spans="1:14" x14ac:dyDescent="0.45">
      <c r="A15" s="39" t="s">
        <v>120</v>
      </c>
      <c r="B15" s="39">
        <v>0</v>
      </c>
      <c r="C15" s="3">
        <v>1</v>
      </c>
      <c r="D15" t="s">
        <v>140</v>
      </c>
      <c r="K15" s="3" t="s">
        <v>120</v>
      </c>
      <c r="L15" s="3">
        <v>0.5</v>
      </c>
      <c r="N15" t="s">
        <v>161</v>
      </c>
    </row>
    <row r="16" spans="1:14" x14ac:dyDescent="0.45">
      <c r="A16" s="3" t="s">
        <v>127</v>
      </c>
      <c r="B16" s="3"/>
      <c r="C16" s="39">
        <v>1</v>
      </c>
      <c r="D16" t="s">
        <v>129</v>
      </c>
      <c r="K16" s="3" t="s">
        <v>127</v>
      </c>
      <c r="L16" s="39">
        <v>1</v>
      </c>
    </row>
    <row r="17" spans="1:12" x14ac:dyDescent="0.45">
      <c r="A17" s="3" t="s">
        <v>128</v>
      </c>
      <c r="B17" s="3"/>
      <c r="C17" s="39">
        <v>1</v>
      </c>
      <c r="D17" t="s">
        <v>130</v>
      </c>
      <c r="K17" s="3" t="s">
        <v>128</v>
      </c>
      <c r="L17" s="39">
        <v>2</v>
      </c>
    </row>
    <row r="18" spans="1:12" x14ac:dyDescent="0.45">
      <c r="A18" s="2" t="s">
        <v>132</v>
      </c>
      <c r="B18" s="3">
        <v>32768</v>
      </c>
      <c r="C18" s="3">
        <v>1</v>
      </c>
      <c r="D18" t="s">
        <v>143</v>
      </c>
      <c r="K18" s="2" t="s">
        <v>132</v>
      </c>
      <c r="L18" s="39">
        <v>0.5</v>
      </c>
    </row>
    <row r="19" spans="1:12" x14ac:dyDescent="0.45">
      <c r="A19" s="3" t="s">
        <v>131</v>
      </c>
      <c r="B19" s="3">
        <v>32896</v>
      </c>
      <c r="C19" s="3">
        <v>1</v>
      </c>
      <c r="D19" t="s">
        <v>134</v>
      </c>
      <c r="K19" s="3" t="s">
        <v>131</v>
      </c>
      <c r="L19" s="39">
        <v>1</v>
      </c>
    </row>
    <row r="20" spans="1:12" x14ac:dyDescent="0.45">
      <c r="A20" s="3" t="s">
        <v>133</v>
      </c>
      <c r="B20" s="3">
        <v>32896</v>
      </c>
      <c r="C20" s="3">
        <v>1</v>
      </c>
      <c r="D20" t="s">
        <v>135</v>
      </c>
      <c r="K20" s="3" t="s">
        <v>133</v>
      </c>
      <c r="L20" s="39">
        <v>2</v>
      </c>
    </row>
  </sheetData>
  <mergeCells count="2">
    <mergeCell ref="E3:F3"/>
    <mergeCell ref="H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K13"/>
  <sheetViews>
    <sheetView workbookViewId="0">
      <selection activeCell="H2" sqref="H2"/>
    </sheetView>
  </sheetViews>
  <sheetFormatPr defaultColWidth="9.1328125" defaultRowHeight="14.25" x14ac:dyDescent="0.45"/>
  <cols>
    <col min="1" max="7" width="2.86328125" style="13" customWidth="1"/>
    <col min="8" max="8" width="10.3984375" style="13" customWidth="1"/>
    <col min="9" max="33" width="2.86328125" style="13" customWidth="1"/>
    <col min="34" max="16384" width="9.1328125" style="13"/>
  </cols>
  <sheetData>
    <row r="1" spans="1:11" ht="14.65" thickBot="1" x14ac:dyDescent="0.5"/>
    <row r="2" spans="1:11" x14ac:dyDescent="0.45">
      <c r="A2" s="73" t="s">
        <v>63</v>
      </c>
      <c r="B2" s="74"/>
      <c r="C2" s="74"/>
      <c r="D2" s="74"/>
      <c r="E2" s="74"/>
      <c r="F2" s="74"/>
      <c r="G2" s="74"/>
      <c r="H2" s="17" t="str">
        <f>CONCATENATE(ROUND(SUMPRODUCT('Список деталей'!C10:C108,'Список деталей'!D10:D108,'Список деталей'!E10:E108)/1000000,2)," кв.м")</f>
        <v>2,05 кв.м</v>
      </c>
    </row>
    <row r="3" spans="1:11" x14ac:dyDescent="0.45">
      <c r="A3" s="78" t="s">
        <v>70</v>
      </c>
      <c r="B3" s="79"/>
      <c r="C3" s="79"/>
      <c r="D3" s="79"/>
      <c r="E3" s="79"/>
      <c r="F3" s="79"/>
      <c r="G3" s="79"/>
      <c r="H3" s="18">
        <f>ROUNDUP(ROUND(SUMPRODUCT('Список деталей'!C10:C108,'Список деталей'!D10:D108,'Список деталей'!E10:E108)/1000000,2)/5.0325,0)</f>
        <v>1</v>
      </c>
      <c r="I3" s="80">
        <f>'Список деталей'!W109+(9*H3)</f>
        <v>9</v>
      </c>
      <c r="J3" s="81"/>
      <c r="K3" s="81"/>
    </row>
    <row r="4" spans="1:11" x14ac:dyDescent="0.45">
      <c r="A4" s="78" t="s">
        <v>69</v>
      </c>
      <c r="B4" s="79"/>
      <c r="C4" s="79"/>
      <c r="D4" s="79"/>
      <c r="E4" s="79"/>
      <c r="F4" s="79"/>
      <c r="G4" s="79"/>
      <c r="H4" s="18">
        <f>ROUNDUP(ROUND(SUMPRODUCT('Список деталей'!C10:C108,'Список деталей'!D10:D108,'Список деталей'!E10:E108)/1000000,2)/5.796,0)</f>
        <v>1</v>
      </c>
      <c r="I4" s="80">
        <f>'Список деталей'!W109+(10*H4)</f>
        <v>10</v>
      </c>
      <c r="J4" s="81"/>
      <c r="K4" s="81"/>
    </row>
    <row r="5" spans="1:11" x14ac:dyDescent="0.45">
      <c r="A5" s="78" t="s">
        <v>71</v>
      </c>
      <c r="B5" s="79"/>
      <c r="C5" s="79"/>
      <c r="D5" s="79"/>
      <c r="E5" s="79"/>
      <c r="F5" s="79"/>
      <c r="G5" s="79"/>
      <c r="H5" s="19">
        <f>'Список деталей'!V109/1.15</f>
        <v>0</v>
      </c>
      <c r="I5" s="80"/>
      <c r="J5" s="81"/>
      <c r="K5" s="81"/>
    </row>
    <row r="6" spans="1:11" ht="14.65" thickBot="1" x14ac:dyDescent="0.5">
      <c r="A6" s="75" t="s">
        <v>64</v>
      </c>
      <c r="B6" s="76"/>
      <c r="C6" s="76"/>
      <c r="D6" s="76"/>
      <c r="E6" s="76"/>
      <c r="F6" s="76"/>
      <c r="G6" s="76"/>
      <c r="H6" s="20" t="str">
        <f>CONCATENATE(SUM('Список деталей'!E10:E108)," шт.")</f>
        <v>21 шт.</v>
      </c>
      <c r="I6" s="80"/>
      <c r="J6" s="81"/>
      <c r="K6" s="81"/>
    </row>
    <row r="7" spans="1:11" ht="14.65" thickBot="1" x14ac:dyDescent="0.5"/>
    <row r="8" spans="1:11" ht="14.65" thickBot="1" x14ac:dyDescent="0.5">
      <c r="A8" s="77" t="s">
        <v>67</v>
      </c>
      <c r="B8" s="67"/>
      <c r="C8" s="67"/>
      <c r="D8" s="67"/>
      <c r="E8" s="67"/>
      <c r="F8" s="67"/>
      <c r="G8" s="67"/>
      <c r="H8" s="67"/>
      <c r="I8" s="67" t="s">
        <v>68</v>
      </c>
      <c r="J8" s="67"/>
      <c r="K8" s="68"/>
    </row>
    <row r="9" spans="1:11" ht="14.65" thickTop="1" x14ac:dyDescent="0.45">
      <c r="A9" s="84" t="s">
        <v>65</v>
      </c>
      <c r="B9" s="85"/>
      <c r="C9" s="85"/>
      <c r="D9" s="85"/>
      <c r="E9" s="85"/>
      <c r="F9" s="85"/>
      <c r="G9" s="85"/>
      <c r="H9" s="14" t="str">
        <f>CONCATENATE(ROUND(1*(SUMPRODUCT((('Список деталей'!$F$10:$F$108=Справочник!A5)+('Список деталей'!$G$10:$G$108=Справочник!A5))*('Список деталей'!$C$10:$C$108)*('Список деталей'!$E$10:$E$108))+SUMPRODUCT((('Список деталей'!$H$10:$H$108=Справочник!A5)+('Список деталей'!$I$10:$I$108=Справочник!A5))*('Список деталей'!$D$10:$D$108)*('Список деталей'!$E$10:$E$108)))/1000,2)," м")</f>
        <v>13,92 м</v>
      </c>
      <c r="I9" s="69" t="str">
        <f>CONCATENATE(ROUND(1*(SUMPRODUCT((('Список деталей'!$F$10:$F$108=Справочник!A11)+('Список деталей'!$G$10:$G$108=Справочник!A11))*('Список деталей'!$C$10:$C$108)*('Список деталей'!$E$10:$E$108))+SUMPRODUCT((('Список деталей'!$H$10:$H$108=Справочник!A11)+('Список деталей'!$I$10:$I$108=Справочник!A11))*('Список деталей'!$D$10:$D$108)*('Список деталей'!$E$10:$E$108)))/1000,2)," м")</f>
        <v>4,2 м</v>
      </c>
      <c r="J9" s="69"/>
      <c r="K9" s="70"/>
    </row>
    <row r="10" spans="1:11" x14ac:dyDescent="0.45">
      <c r="A10" s="86" t="s">
        <v>66</v>
      </c>
      <c r="B10" s="87"/>
      <c r="C10" s="87"/>
      <c r="D10" s="87"/>
      <c r="E10" s="87"/>
      <c r="F10" s="87"/>
      <c r="G10" s="87"/>
      <c r="H10" s="15" t="str">
        <f>CONCATENATE(ROUND(1*(SUMPRODUCT((('Список деталей'!$F$10:$F$108=Справочник!A7)+('Список деталей'!$G$10:$G$108=Справочник!A7))*('Список деталей'!$C$10:$C$108)*('Список деталей'!$E$10:$E$108))+SUMPRODUCT((('Список деталей'!$H$10:$H$108=Справочник!A7)+('Список деталей'!$I$10:$I$108=Справочник!A7))*('Список деталей'!$D$10:$D$108)*('Список деталей'!$E$10:$E$108)))/1000,2)," м")</f>
        <v>0,31 м</v>
      </c>
      <c r="I10" s="71" t="str">
        <f>CONCATENATE(ROUND(1.2*(SUMPRODUCT((('Список деталей'!$F$10:$F$108=Справочник!A7)+('Список деталей'!$G$10:$G$108=Справочник!A7))*('Список деталей'!$C$10:$C$108)*('Список деталей'!$E$10:$E$108))+SUMPRODUCT((('Список деталей'!$H$10:$H$108=Справочник!A7)+('Список деталей'!$I$10:$I$108=Справочник!A7))*('Список деталей'!$D$10:$D$108)*('Список деталей'!$E$10:$E$108)))/1000,2)," м")</f>
        <v>0,37 м</v>
      </c>
      <c r="J10" s="71"/>
      <c r="K10" s="72"/>
    </row>
    <row r="11" spans="1:11" x14ac:dyDescent="0.45">
      <c r="A11" s="88" t="s">
        <v>50</v>
      </c>
      <c r="B11" s="89"/>
      <c r="C11" s="89"/>
      <c r="D11" s="89"/>
      <c r="E11" s="89"/>
      <c r="F11" s="89"/>
      <c r="G11" s="89"/>
      <c r="H11" s="15" t="str">
        <f>CONCATENATE(ROUND(1*(SUMPRODUCT((('Список деталей'!$F$10:$F$108=Справочник!A8)+('Список деталей'!$G$10:$G$108=Справочник!A8))*('Список деталей'!$C$10:$C$108)*('Список деталей'!$E$10:$E$108))+SUMPRODUCT((('Список деталей'!$H$10:$H$108=Справочник!A8)+('Список деталей'!$I$10:$I$108=Справочник!A8))*('Список деталей'!$D$10:$D$108)*('Список деталей'!$E$10:$E$108)))/1000,2)," м")</f>
        <v>1,39 м</v>
      </c>
      <c r="I11" s="71" t="str">
        <f>CONCATENATE(ROUND(1.2*(SUMPRODUCT((('Список деталей'!$F$10:$F$108=Справочник!A8)+('Список деталей'!$G$10:$G$108=Справочник!A8))*('Список деталей'!$C$10:$C$108)*('Список деталей'!$E$10:$E$108))+SUMPRODUCT((('Список деталей'!$H$10:$H$108=Справочник!A8)+('Список деталей'!$I$10:$I$108=Справочник!A8))*('Список деталей'!$D$10:$D$108)*('Список деталей'!$E$10:$E$108)))/1000,2)," м")</f>
        <v>1,67 м</v>
      </c>
      <c r="J11" s="71"/>
      <c r="K11" s="72"/>
    </row>
    <row r="12" spans="1:11" x14ac:dyDescent="0.45">
      <c r="A12" s="88" t="s">
        <v>51</v>
      </c>
      <c r="B12" s="89"/>
      <c r="C12" s="89"/>
      <c r="D12" s="89"/>
      <c r="E12" s="89"/>
      <c r="F12" s="89"/>
      <c r="G12" s="89"/>
      <c r="H12" s="15" t="str">
        <f>CONCATENATE(ROUND(1*(SUMPRODUCT((('Список деталей'!$F$10:$F$108=Справочник!A10)+('Список деталей'!$G$10:$G$108=Справочник!A10))*('Список деталей'!$C$10:$C$108)*('Список деталей'!$E$10:$E$108))+SUMPRODUCT((('Список деталей'!$H$10:$H$108=Справочник!A10)+('Список деталей'!$I$10:$I$108=Справочник!A10))*('Список деталей'!$D$10:$D$108)*('Список деталей'!$E$10:$E$108)))/1000,2)," м")</f>
        <v>0 м</v>
      </c>
      <c r="I12" s="71" t="str">
        <f>CONCATENATE(ROUND(1.2*(SUMPRODUCT((('Список деталей'!$F$10:$F$108=Справочник!A10)+('Список деталей'!$G$10:$G$108=Справочник!A10))*('Список деталей'!$C$10:$C$108)*('Список деталей'!$E$10:$E$108))+SUMPRODUCT((('Список деталей'!$H$10:$H$108=Справочник!A10)+('Список деталей'!$I$10:$I$108=Справочник!A10))*('Список деталей'!$D$10:$D$108)*('Список деталей'!$E$10:$E$108)))/1000,2)," м")</f>
        <v>0 м</v>
      </c>
      <c r="J12" s="71"/>
      <c r="K12" s="72"/>
    </row>
    <row r="13" spans="1:11" ht="14.65" thickBot="1" x14ac:dyDescent="0.5">
      <c r="A13" s="90" t="s">
        <v>56</v>
      </c>
      <c r="B13" s="91"/>
      <c r="C13" s="91"/>
      <c r="D13" s="91"/>
      <c r="E13" s="91"/>
      <c r="F13" s="91"/>
      <c r="G13" s="91"/>
      <c r="H13" s="16" t="str">
        <f>CONCATENATE(ROUND(1*(SUMPRODUCT((('Список деталей'!$F$10:$F$108=Справочник!A6)+('Список деталей'!$G$10:$G$108=Справочник!A6))*('Список деталей'!$C$10:$C$108)*('Список деталей'!$E$10:$E$108))+SUMPRODUCT((('Список деталей'!$H$10:$H$108=Справочник!A6)+('Список деталей'!$I$10:$I$108=Справочник!A6))*('Список деталей'!$D$10:$D$108)*('Список деталей'!$E$10:$E$108)))/1000,2)," м")</f>
        <v>6,96 м</v>
      </c>
      <c r="I13" s="82" t="str">
        <f>CONCATENATE(ROUND(1.2*(SUMPRODUCT((('Список деталей'!$F$10:$F$108=Справочник!A6)+('Список деталей'!$G$10:$G$108=Справочник!A6))*('Список деталей'!$C$10:$C$108)*('Список деталей'!$E$10:$E$108))+SUMPRODUCT((('Список деталей'!$H$10:$H$108=Справочник!A6)+('Список деталей'!$I$10:$I$108=Справочник!A6))*('Список деталей'!$D$10:$D$108)*('Список деталей'!$E$10:$E$108)))/1000,2)," м")</f>
        <v>8,35 м</v>
      </c>
      <c r="J13" s="82"/>
      <c r="K13" s="83"/>
    </row>
  </sheetData>
  <sheetProtection algorithmName="SHA-512" hashValue="hlnbO/9PZFda0g2Zwvnb/CMHp0hHjLx0pA1EJakS0Ogwn6yhoYDhUKBfAx7oHjMESb+0IiQFGcINyRExfoP+Rg==" saltValue="oSOLlMHvUFKzWrqWri8Bug==" spinCount="100000" sheet="1" objects="1" scenarios="1"/>
  <mergeCells count="21">
    <mergeCell ref="I11:K11"/>
    <mergeCell ref="I12:K12"/>
    <mergeCell ref="I13:K13"/>
    <mergeCell ref="A9:G9"/>
    <mergeCell ref="A10:G10"/>
    <mergeCell ref="A11:G11"/>
    <mergeCell ref="A12:G12"/>
    <mergeCell ref="A13:G13"/>
    <mergeCell ref="I8:K8"/>
    <mergeCell ref="I9:K9"/>
    <mergeCell ref="I10:K10"/>
    <mergeCell ref="A2:G2"/>
    <mergeCell ref="A6:G6"/>
    <mergeCell ref="A8:H8"/>
    <mergeCell ref="A3:G3"/>
    <mergeCell ref="A4:G4"/>
    <mergeCell ref="A5:G5"/>
    <mergeCell ref="I5:K5"/>
    <mergeCell ref="I6:K6"/>
    <mergeCell ref="I4:K4"/>
    <mergeCell ref="I3:K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2"/>
  <dimension ref="A1:C99"/>
  <sheetViews>
    <sheetView workbookViewId="0">
      <selection sqref="A1:A58"/>
    </sheetView>
  </sheetViews>
  <sheetFormatPr defaultColWidth="10" defaultRowHeight="14.25" x14ac:dyDescent="0.45"/>
  <cols>
    <col min="1" max="1" width="82.3984375" customWidth="1"/>
    <col min="2" max="2" width="9.1328125" hidden="1" customWidth="1"/>
    <col min="3" max="3" width="17.59765625" hidden="1" customWidth="1"/>
  </cols>
  <sheetData>
    <row r="1" spans="1:3" x14ac:dyDescent="0.45">
      <c r="A1" s="13" t="str">
        <f>IF(B1,CONCATENATE('Список деталей'!C10," ",'Список деталей'!D10," ",'Список деталей'!E10," ",C1," No•Material "," ",'Список деталей'!U10," 2 ",'Список деталей'!M10," ",'Список деталей'!N10," ",'Список деталей'!O10," ",'Список деталей'!P10," ",'Список деталей'!Q10," ",'Список деталей'!R10," ",'Список деталей'!S10," ",'Список деталей'!T10), "не данных")</f>
        <v xml:space="preserve">100 100 1  •  No•Material   2        </v>
      </c>
      <c r="B1" s="6" t="b">
        <f>AND(ISNUMBER('Список деталей'!C10),ISNUMBER('Список деталей'!D10),ISNUMBER('Список деталей'!E10))</f>
        <v>1</v>
      </c>
      <c r="C1" t="str">
        <f>IF(ISBLANK('Список деталей'!K10)," • ",SUBSTITUTE('Список деталей'!K10," ","•"))</f>
        <v xml:space="preserve"> • </v>
      </c>
    </row>
    <row r="2" spans="1:3" x14ac:dyDescent="0.45">
      <c r="A2" s="13" t="str">
        <f>IF(B2,CONCATENATE('Список деталей'!C11," ",'Список деталей'!D11," ",'Список деталей'!E11," ",C2," No•Material "," ",'Список деталей'!U11," 2 ",'Список деталей'!M11," ",'Список деталей'!N11," ",'Список деталей'!O11," ",'Список деталей'!P11," ",'Список деталей'!Q11," ",'Список деталей'!R11," ",'Список деталей'!S11," ",'Список деталей'!T11), "не данных")</f>
        <v xml:space="preserve">699 122 2  •  No•Material   2        </v>
      </c>
      <c r="B2" s="6" t="b">
        <f>AND(ISNUMBER('Список деталей'!C11),ISNUMBER('Список деталей'!D11),ISNUMBER('Список деталей'!E11))</f>
        <v>1</v>
      </c>
      <c r="C2" t="str">
        <f>IF(ISBLANK('Список деталей'!K11)," • ",SUBSTITUTE('Список деталей'!K11," ","•"))</f>
        <v xml:space="preserve"> • </v>
      </c>
    </row>
    <row r="3" spans="1:3" x14ac:dyDescent="0.45">
      <c r="A3" s="13" t="str">
        <f>IF(B3,CONCATENATE('Список деталей'!C12," ",'Список деталей'!D12," ",'Список деталей'!E12," ",C3," No•Material "," ",'Список деталей'!U12," 2 ",'Список деталей'!M12," ",'Список деталей'!N12," ",'Список деталей'!O12," ",'Список деталей'!P12," ",'Список деталей'!Q12," ",'Список деталей'!R12," ",'Список деталей'!S12," ",'Список деталей'!T12), "не данных")</f>
        <v xml:space="preserve">200 400 2 *32 No•Material   2        </v>
      </c>
      <c r="B3" s="6" t="b">
        <f>AND(ISNUMBER('Список деталей'!C12),ISNUMBER('Список деталей'!D12),ISNUMBER('Список деталей'!E12))</f>
        <v>1</v>
      </c>
      <c r="C3" t="str">
        <f>IF(ISBLANK('Список деталей'!K12)," • ",SUBSTITUTE('Список деталей'!K12," ","•"))</f>
        <v>*32</v>
      </c>
    </row>
    <row r="4" spans="1:3" x14ac:dyDescent="0.45">
      <c r="A4" s="13" t="str">
        <f>IF(B4,CONCATENATE('Список деталей'!C13," ",'Список деталей'!D13," ",'Список деталей'!E13," ",C4," No•Material "," ",'Список деталей'!U13," 2 ",'Список деталей'!M13," ",'Список деталей'!N13," ",'Список деталей'!O13," ",'Список деталей'!P13," ",'Список деталей'!Q13," ",'Список деталей'!R13," ",'Список деталей'!S13," ",'Список деталей'!T13), "не данных")</f>
        <v xml:space="preserve">383 554 2  •  No•Material   2        </v>
      </c>
      <c r="B4" s="6" t="b">
        <f>AND(ISNUMBER('Список деталей'!C13),ISNUMBER('Список деталей'!D13),ISNUMBER('Список деталей'!E13))</f>
        <v>1</v>
      </c>
      <c r="C4" t="str">
        <f>IF(ISBLANK('Список деталей'!K13)," • ",SUBSTITUTE('Список деталей'!K13," ","•"))</f>
        <v xml:space="preserve"> • </v>
      </c>
    </row>
    <row r="5" spans="1:3" x14ac:dyDescent="0.45">
      <c r="A5" s="13" t="str">
        <f>IF(B5,CONCATENATE('Список деталей'!C14," ",'Список деталей'!D14," ",'Список деталей'!E14," ",C5," No•Material "," ",'Список деталей'!U14," 2 ",'Список деталей'!M14," ",'Список деталей'!N14," ",'Список деталей'!O14," ",'Список деталей'!P14," ",'Список деталей'!Q14," ",'Список деталей'!R14," ",'Список деталей'!S14," ",'Список деталей'!T14), "не данных")</f>
        <v xml:space="preserve">367 554 2 радиус No•Material   2        </v>
      </c>
      <c r="B5" s="6" t="b">
        <f>AND(ISNUMBER('Список деталей'!C14),ISNUMBER('Список деталей'!D14),ISNUMBER('Список деталей'!E14))</f>
        <v>1</v>
      </c>
      <c r="C5" t="str">
        <f>IF(ISBLANK('Список деталей'!K14)," • ",SUBSTITUTE('Список деталей'!K14," ","•"))</f>
        <v>радиус</v>
      </c>
    </row>
    <row r="6" spans="1:3" x14ac:dyDescent="0.45">
      <c r="A6" s="13" t="str">
        <f>IF(B6,CONCATENATE('Список деталей'!C15," ",'Список деталей'!D15," ",'Список деталей'!E15," ",C6," No•Material "," ",'Список деталей'!U15," 2 ",'Список деталей'!M15," ",'Список деталей'!N15," ",'Список деталей'!O15," ",'Список деталей'!P15," ",'Список деталей'!Q15," ",'Список деталей'!R15," ",'Список деталей'!S15," ",'Список деталей'!T15), "не данных")</f>
        <v xml:space="preserve">699 155 2  •  No•Material   2        </v>
      </c>
      <c r="B6" s="6" t="b">
        <f>AND(ISNUMBER('Список деталей'!C15),ISNUMBER('Список деталей'!D15),ISNUMBER('Список деталей'!E15))</f>
        <v>1</v>
      </c>
      <c r="C6" t="str">
        <f>IF(ISBLANK('Список деталей'!K15)," • ",SUBSTITUTE('Список деталей'!K15," ","•"))</f>
        <v xml:space="preserve"> • </v>
      </c>
    </row>
    <row r="7" spans="1:3" x14ac:dyDescent="0.45">
      <c r="A7" s="13" t="str">
        <f>IF(B7,CONCATENATE('Список деталей'!C16," ",'Список деталей'!D16," ",'Список деталей'!E16," ",C7," No•Material "," ",'Список деталей'!U16," 2 ",'Список деталей'!M16," ",'Список деталей'!N16," ",'Список деталей'!O16," ",'Список деталей'!P16," ",'Список деталей'!Q16," ",'Список деталей'!R16," ",'Список деталей'!S16," ",'Список деталей'!T16), "не данных")</f>
        <v xml:space="preserve">155 441 2 Косарез•с•кром,•чертёж No•Material   2        </v>
      </c>
      <c r="B7" s="6" t="b">
        <f>AND(ISNUMBER('Список деталей'!C16),ISNUMBER('Список деталей'!D16),ISNUMBER('Список деталей'!E16))</f>
        <v>1</v>
      </c>
      <c r="C7" t="str">
        <f>IF(ISBLANK('Список деталей'!K16)," • ",SUBSTITUTE('Список деталей'!K16," ","•"))</f>
        <v>Косарез•с•кром,•чертёж</v>
      </c>
    </row>
    <row r="8" spans="1:3" x14ac:dyDescent="0.45">
      <c r="A8" s="13" t="str">
        <f>IF(B8,CONCATENATE('Список деталей'!C17," ",'Список деталей'!D17," ",'Список деталей'!E17," ",C8," No•Material "," ",'Список деталей'!U17," 2 ",'Список деталей'!M17," ",'Список деталей'!N17," ",'Список деталей'!O17," ",'Список деталей'!P17," ",'Список деталей'!Q17," ",'Список деталей'!R17," ",'Список деталей'!S17," ",'Список деталей'!T17), "не данных")</f>
        <v xml:space="preserve">439 154 1  •  No•Material   2        </v>
      </c>
      <c r="B8" s="6" t="b">
        <f>AND(ISNUMBER('Список деталей'!C17),ISNUMBER('Список деталей'!D17),ISNUMBER('Список деталей'!E17))</f>
        <v>1</v>
      </c>
      <c r="C8" t="str">
        <f>IF(ISBLANK('Список деталей'!K17)," • ",SUBSTITUTE('Список деталей'!K17," ","•"))</f>
        <v xml:space="preserve"> • </v>
      </c>
    </row>
    <row r="9" spans="1:3" x14ac:dyDescent="0.45">
      <c r="A9" s="13" t="str">
        <f>IF(B9,CONCATENATE('Список деталей'!C18," ",'Список деталей'!D18," ",'Список деталей'!E18," ",C9," No•Material "," ",'Список деталей'!U18," 2 ",'Список деталей'!M18," ",'Список деталей'!N18," ",'Список деталей'!O18," ",'Список деталей'!P18," ",'Список деталей'!Q18," ",'Список деталей'!R18," ",'Список деталей'!S18," ",'Список деталей'!T18), "не данных")</f>
        <v xml:space="preserve">496 126 2 СКЛ•456*86-2шт No•Material   2        </v>
      </c>
      <c r="B9" s="6" t="b">
        <f>AND(ISNUMBER('Список деталей'!C18),ISNUMBER('Список деталей'!D18),ISNUMBER('Список деталей'!E18))</f>
        <v>1</v>
      </c>
      <c r="C9" t="str">
        <f>IF(ISBLANK('Список деталей'!K18)," • ",SUBSTITUTE('Список деталей'!K18," ","•"))</f>
        <v>СКЛ•456*86-2шт</v>
      </c>
    </row>
    <row r="10" spans="1:3" x14ac:dyDescent="0.45">
      <c r="A10" s="13" t="str">
        <f>IF(B10,CONCATENATE('Список деталей'!C19," ",'Список деталей'!D19," ",'Список деталей'!E19," ",C10," No•Material "," ",'Список деталей'!U19," 2 ",'Список деталей'!M19," ",'Список деталей'!N19," ",'Список деталей'!O19," ",'Список деталей'!P19," ",'Список деталей'!Q19," ",'Список деталей'!R19," ",'Список деталей'!S19," ",'Список деталей'!T19), "не данных")</f>
        <v xml:space="preserve">439 84 1  •  No•Material   2        </v>
      </c>
      <c r="B10" s="6" t="b">
        <f>AND(ISNUMBER('Список деталей'!C19),ISNUMBER('Список деталей'!D19),ISNUMBER('Список деталей'!E19))</f>
        <v>1</v>
      </c>
      <c r="C10" t="str">
        <f>IF(ISBLANK('Список деталей'!K19)," • ",SUBSTITUTE('Список деталей'!K19," ","•"))</f>
        <v xml:space="preserve"> • </v>
      </c>
    </row>
    <row r="11" spans="1:3" x14ac:dyDescent="0.45">
      <c r="A11" s="13" t="str">
        <f>IF(B11,CONCATENATE('Список деталей'!C20," ",'Список деталей'!D20," ",'Список деталей'!E20," ",C11," No•Material "," ",'Список деталей'!U20," 2 ",'Список деталей'!M20," ",'Список деталей'!N20," ",'Список деталей'!O20," ",'Список деталей'!P20," ",'Список деталей'!Q20," ",'Список деталей'!R20," ",'Список деталей'!S20," ",'Список деталей'!T20), "не данных")</f>
        <v xml:space="preserve">496 172 2 РПЛ•до•56*2,•докромить No•Material   2        </v>
      </c>
      <c r="B11" s="6" t="b">
        <f>AND(ISNUMBER('Список деталей'!C20),ISNUMBER('Список деталей'!D20),ISNUMBER('Список деталей'!E20))</f>
        <v>1</v>
      </c>
      <c r="C11" t="str">
        <f>IF(ISBLANK('Список деталей'!K20)," • ",SUBSTITUTE('Список деталей'!K20," ","•"))</f>
        <v>РПЛ•до•56*2,•докромить</v>
      </c>
    </row>
    <row r="12" spans="1:3" x14ac:dyDescent="0.45">
      <c r="A12" s="13" t="str">
        <f>IF(B12,CONCATENATE('Список деталей'!C21," ",'Список деталей'!D21," ",'Список деталей'!E21," ",C12," No•Material "," ",'Список деталей'!U21," 2 ",'Список деталей'!M21," ",'Список деталей'!N21," ",'Список деталей'!O21," ",'Список деталей'!P21," ",'Список деталей'!Q21," ",'Список деталей'!R21," ",'Список деталей'!S21," ",'Список деталей'!T21), "не данных")</f>
        <v xml:space="preserve">367 69 1  •  No•Material   2        </v>
      </c>
      <c r="B12" s="6" t="b">
        <f>AND(ISNUMBER('Список деталей'!C21),ISNUMBER('Список деталей'!D21),ISNUMBER('Список деталей'!E21))</f>
        <v>1</v>
      </c>
      <c r="C12" t="str">
        <f>IF(ISBLANK('Список деталей'!K21)," • ",SUBSTITUTE('Список деталей'!K21," ","•"))</f>
        <v xml:space="preserve"> • </v>
      </c>
    </row>
    <row r="13" spans="1:3" x14ac:dyDescent="0.45">
      <c r="A13" s="13" t="str">
        <f>IF(B13,CONCATENATE('Список деталей'!C22," ",'Список деталей'!D22," ",'Список деталей'!E22," ",C13," No•Material "," ",'Список деталей'!U22," 2 ",'Список деталей'!M22," ",'Список деталей'!N22," ",'Список деталей'!O22," ",'Список деталей'!P22," ",'Список деталей'!Q22," ",'Список деталей'!R22," ",'Список деталей'!S22," ",'Список деталей'!T22), "не данных")</f>
        <v xml:space="preserve">100 1000 1  •  No•Material   2        </v>
      </c>
      <c r="B13" s="6" t="b">
        <f>AND(ISNUMBER('Список деталей'!C22),ISNUMBER('Список деталей'!D22),ISNUMBER('Список деталей'!E22))</f>
        <v>1</v>
      </c>
      <c r="C13" t="str">
        <f>IF(ISBLANK('Список деталей'!K22)," • ",SUBSTITUTE('Список деталей'!K22," ","•"))</f>
        <v xml:space="preserve"> • </v>
      </c>
    </row>
    <row r="14" spans="1:3" x14ac:dyDescent="0.45">
      <c r="A14" s="13" t="str">
        <f>IF(B14,CONCATENATE('Список деталей'!C23," ",'Список деталей'!D23," ",'Список деталей'!E23," ",C14," No•Material "," ",'Список деталей'!U23," 2 ",'Список деталей'!M23," ",'Список деталей'!N23," ",'Список деталей'!O23," ",'Список деталей'!P23," ",'Список деталей'!Q23," ",'Список деталей'!R23," ",'Список деталей'!S23," ",'Список деталей'!T23), "не данных")</f>
        <v>не данных</v>
      </c>
      <c r="B14" s="6" t="b">
        <f>AND(ISNUMBER('Список деталей'!C23),ISNUMBER('Список деталей'!D23),ISNUMBER('Список деталей'!E23))</f>
        <v>0</v>
      </c>
      <c r="C14" t="str">
        <f>IF(ISBLANK('Список деталей'!K23)," • ",SUBSTITUTE('Список деталей'!K23," ","•"))</f>
        <v xml:space="preserve"> • </v>
      </c>
    </row>
    <row r="15" spans="1:3" x14ac:dyDescent="0.45">
      <c r="A15" s="13" t="str">
        <f>IF(B15,CONCATENATE('Список деталей'!C24," ",'Список деталей'!D24," ",'Список деталей'!E24," ",C15," No•Material "," ",'Список деталей'!U24," 2 ",'Список деталей'!M24," ",'Список деталей'!N24," ",'Список деталей'!O24," ",'Список деталей'!P24," ",'Список деталей'!Q24," ",'Список деталей'!R24," ",'Список деталей'!S24," ",'Список деталей'!T24), "не данных")</f>
        <v>не данных</v>
      </c>
      <c r="B15" s="6" t="b">
        <f>AND(ISNUMBER('Список деталей'!C24),ISNUMBER('Список деталей'!D24),ISNUMBER('Список деталей'!E24))</f>
        <v>0</v>
      </c>
      <c r="C15" t="str">
        <f>IF(ISBLANK('Список деталей'!K24)," • ",SUBSTITUTE('Список деталей'!K24," ","•"))</f>
        <v xml:space="preserve"> • </v>
      </c>
    </row>
    <row r="16" spans="1:3" x14ac:dyDescent="0.45">
      <c r="A16" s="13" t="str">
        <f>IF(B16,CONCATENATE('Список деталей'!C25," ",'Список деталей'!D25," ",'Список деталей'!E25," ",C16," No•Material "," ",'Список деталей'!U25," 2 ",'Список деталей'!M25," ",'Список деталей'!N25," ",'Список деталей'!O25," ",'Список деталей'!P25," ",'Список деталей'!Q25," ",'Список деталей'!R25," ",'Список деталей'!S25," ",'Список деталей'!T25), "не данных")</f>
        <v>не данных</v>
      </c>
      <c r="B16" s="6" t="b">
        <f>AND(ISNUMBER('Список деталей'!C25),ISNUMBER('Список деталей'!D25),ISNUMBER('Список деталей'!E25))</f>
        <v>0</v>
      </c>
      <c r="C16" t="str">
        <f>IF(ISBLANK('Список деталей'!K25)," • ",SUBSTITUTE('Список деталей'!K25," ","•"))</f>
        <v xml:space="preserve"> • </v>
      </c>
    </row>
    <row r="17" spans="1:3" x14ac:dyDescent="0.45">
      <c r="A17" s="13" t="str">
        <f>IF(B17,CONCATENATE('Список деталей'!C26," ",'Список деталей'!D26," ",'Список деталей'!E26," ",C17," No•Material "," ",'Список деталей'!U26," 2 ",'Список деталей'!M26," ",'Список деталей'!N26," ",'Список деталей'!O26," ",'Список деталей'!P26," ",'Список деталей'!Q26," ",'Список деталей'!R26," ",'Список деталей'!S26," ",'Список деталей'!T26), "не данных")</f>
        <v>не данных</v>
      </c>
      <c r="B17" s="6" t="b">
        <f>AND(ISNUMBER('Список деталей'!C26),ISNUMBER('Список деталей'!D26),ISNUMBER('Список деталей'!E26))</f>
        <v>0</v>
      </c>
      <c r="C17" t="str">
        <f>IF(ISBLANK('Список деталей'!K26)," • ",SUBSTITUTE('Список деталей'!K26," ","•"))</f>
        <v xml:space="preserve"> • </v>
      </c>
    </row>
    <row r="18" spans="1:3" x14ac:dyDescent="0.45">
      <c r="A18" s="13" t="str">
        <f>IF(B18,CONCATENATE('Список деталей'!C27," ",'Список деталей'!D27," ",'Список деталей'!E27," ",C18," No•Material "," ",'Список деталей'!U27," 2 ",'Список деталей'!M27," ",'Список деталей'!N27," ",'Список деталей'!O27," ",'Список деталей'!P27," ",'Список деталей'!Q27," ",'Список деталей'!R27," ",'Список деталей'!S27," ",'Список деталей'!T27), "не данных")</f>
        <v>не данных</v>
      </c>
      <c r="B18" s="6" t="b">
        <f>AND(ISNUMBER('Список деталей'!C27),ISNUMBER('Список деталей'!D27),ISNUMBER('Список деталей'!E27))</f>
        <v>0</v>
      </c>
      <c r="C18" t="str">
        <f>IF(ISBLANK('Список деталей'!K27)," • ",SUBSTITUTE('Список деталей'!K27," ","•"))</f>
        <v xml:space="preserve"> • </v>
      </c>
    </row>
    <row r="19" spans="1:3" x14ac:dyDescent="0.45">
      <c r="A19" s="13" t="str">
        <f>IF(B19,CONCATENATE('Список деталей'!C28," ",'Список деталей'!D28," ",'Список деталей'!E28," ",C19," No•Material "," ",'Список деталей'!U28," 2 ",'Список деталей'!M28," ",'Список деталей'!N28," ",'Список деталей'!O28," ",'Список деталей'!P28," ",'Список деталей'!Q28," ",'Список деталей'!R28," ",'Список деталей'!S28," ",'Список деталей'!T28), "не данных")</f>
        <v>не данных</v>
      </c>
      <c r="B19" s="6" t="b">
        <f>AND(ISNUMBER('Список деталей'!C28),ISNUMBER('Список деталей'!D28),ISNUMBER('Список деталей'!E28))</f>
        <v>0</v>
      </c>
      <c r="C19" t="str">
        <f>IF(ISBLANK('Список деталей'!K28)," • ",SUBSTITUTE('Список деталей'!K28," ","•"))</f>
        <v xml:space="preserve"> • </v>
      </c>
    </row>
    <row r="20" spans="1:3" x14ac:dyDescent="0.45">
      <c r="A20" s="13" t="str">
        <f>IF(B20,CONCATENATE('Список деталей'!C29," ",'Список деталей'!D29," ",'Список деталей'!E29," ",C20," No•Material "," ",'Список деталей'!U29," 2 ",'Список деталей'!M29," ",'Список деталей'!N29," ",'Список деталей'!O29," ",'Список деталей'!P29," ",'Список деталей'!Q29," ",'Список деталей'!R29," ",'Список деталей'!S29," ",'Список деталей'!T29), "не данных")</f>
        <v>не данных</v>
      </c>
      <c r="B20" s="6" t="b">
        <f>AND(ISNUMBER('Список деталей'!C29),ISNUMBER('Список деталей'!D29),ISNUMBER('Список деталей'!E29))</f>
        <v>0</v>
      </c>
      <c r="C20" t="str">
        <f>IF(ISBLANK('Список деталей'!K29)," • ",SUBSTITUTE('Список деталей'!K29," ","•"))</f>
        <v xml:space="preserve"> • </v>
      </c>
    </row>
    <row r="21" spans="1:3" x14ac:dyDescent="0.45">
      <c r="A21" s="13" t="str">
        <f>IF(B21,CONCATENATE('Список деталей'!C30," ",'Список деталей'!D30," ",'Список деталей'!E30," ",C21," No•Material "," ",'Список деталей'!U30," 2 ",'Список деталей'!M30," ",'Список деталей'!N30," ",'Список деталей'!O30," ",'Список деталей'!P30," ",'Список деталей'!Q30," ",'Список деталей'!R30," ",'Список деталей'!S30," ",'Список деталей'!T30), "не данных")</f>
        <v>не данных</v>
      </c>
      <c r="B21" s="6" t="b">
        <f>AND(ISNUMBER('Список деталей'!C30),ISNUMBER('Список деталей'!D30),ISNUMBER('Список деталей'!E30))</f>
        <v>0</v>
      </c>
      <c r="C21" t="str">
        <f>IF(ISBLANK('Список деталей'!K30)," • ",SUBSTITUTE('Список деталей'!K30," ","•"))</f>
        <v xml:space="preserve"> • </v>
      </c>
    </row>
    <row r="22" spans="1:3" x14ac:dyDescent="0.45">
      <c r="A22" s="13" t="str">
        <f>IF(B22,CONCATENATE('Список деталей'!C31," ",'Список деталей'!D31," ",'Список деталей'!E31," ",C22," No•Material "," ",'Список деталей'!U31," 2 ",'Список деталей'!M31," ",'Список деталей'!N31," ",'Список деталей'!O31," ",'Список деталей'!P31," ",'Список деталей'!Q31," ",'Список деталей'!R31," ",'Список деталей'!S31," ",'Список деталей'!T31), "не данных")</f>
        <v>не данных</v>
      </c>
      <c r="B22" s="6" t="b">
        <f>AND(ISNUMBER('Список деталей'!C31),ISNUMBER('Список деталей'!D31),ISNUMBER('Список деталей'!E31))</f>
        <v>0</v>
      </c>
      <c r="C22" t="str">
        <f>IF(ISBLANK('Список деталей'!K31)," • ",SUBSTITUTE('Список деталей'!K31," ","•"))</f>
        <v xml:space="preserve"> • </v>
      </c>
    </row>
    <row r="23" spans="1:3" x14ac:dyDescent="0.45">
      <c r="A23" s="13" t="str">
        <f>IF(B23,CONCATENATE('Список деталей'!C32," ",'Список деталей'!D32," ",'Список деталей'!E32," ",C23," No•Material "," ",'Список деталей'!U32," 2 ",'Список деталей'!M32," ",'Список деталей'!N32," ",'Список деталей'!O32," ",'Список деталей'!P32," ",'Список деталей'!Q32," ",'Список деталей'!R32," ",'Список деталей'!S32," ",'Список деталей'!T32), "не данных")</f>
        <v>не данных</v>
      </c>
      <c r="B23" s="6" t="b">
        <f>AND(ISNUMBER('Список деталей'!C32),ISNUMBER('Список деталей'!D32),ISNUMBER('Список деталей'!E32))</f>
        <v>0</v>
      </c>
      <c r="C23" t="str">
        <f>IF(ISBLANK('Список деталей'!K32)," • ",SUBSTITUTE('Список деталей'!K32," ","•"))</f>
        <v xml:space="preserve"> • </v>
      </c>
    </row>
    <row r="24" spans="1:3" x14ac:dyDescent="0.45">
      <c r="A24" s="13" t="str">
        <f>IF(B24,CONCATENATE('Список деталей'!C33," ",'Список деталей'!D33," ",'Список деталей'!E33," ",C24," No•Material "," ",'Список деталей'!U33," 2 ",'Список деталей'!M33," ",'Список деталей'!N33," ",'Список деталей'!O33," ",'Список деталей'!P33," ",'Список деталей'!Q33," ",'Список деталей'!R33," ",'Список деталей'!S33," ",'Список деталей'!T33), "не данных")</f>
        <v>не данных</v>
      </c>
      <c r="B24" s="6" t="b">
        <f>AND(ISNUMBER('Список деталей'!C33),ISNUMBER('Список деталей'!D33),ISNUMBER('Список деталей'!E33))</f>
        <v>0</v>
      </c>
      <c r="C24" t="str">
        <f>IF(ISBLANK('Список деталей'!K33)," • ",SUBSTITUTE('Список деталей'!K33," ","•"))</f>
        <v xml:space="preserve"> • </v>
      </c>
    </row>
    <row r="25" spans="1:3" x14ac:dyDescent="0.45">
      <c r="A25" s="13" t="str">
        <f>IF(B25,CONCATENATE('Список деталей'!C34," ",'Список деталей'!D34," ",'Список деталей'!E34," ",C25," No•Material "," ",'Список деталей'!U34," 2 ",'Список деталей'!M34," ",'Список деталей'!N34," ",'Список деталей'!O34," ",'Список деталей'!P34," ",'Список деталей'!Q34," ",'Список деталей'!R34," ",'Список деталей'!S34," ",'Список деталей'!T34), "не данных")</f>
        <v>не данных</v>
      </c>
      <c r="B25" s="6" t="b">
        <f>AND(ISNUMBER('Список деталей'!C34),ISNUMBER('Список деталей'!D34),ISNUMBER('Список деталей'!E34))</f>
        <v>0</v>
      </c>
      <c r="C25" t="str">
        <f>IF(ISBLANK('Список деталей'!K34)," • ",SUBSTITUTE('Список деталей'!K34," ","•"))</f>
        <v xml:space="preserve"> • </v>
      </c>
    </row>
    <row r="26" spans="1:3" x14ac:dyDescent="0.45">
      <c r="A26" s="13" t="str">
        <f>IF(B26,CONCATENATE('Список деталей'!C35," ",'Список деталей'!D35," ",'Список деталей'!E35," ",C26," No•Material "," ",'Список деталей'!U35," 2 ",'Список деталей'!M35," ",'Список деталей'!N35," ",'Список деталей'!O35," ",'Список деталей'!P35," ",'Список деталей'!Q35," ",'Список деталей'!R35," ",'Список деталей'!S35," ",'Список деталей'!T35), "не данных")</f>
        <v>не данных</v>
      </c>
      <c r="B26" s="6" t="b">
        <f>AND(ISNUMBER('Список деталей'!C35),ISNUMBER('Список деталей'!D35),ISNUMBER('Список деталей'!E35))</f>
        <v>0</v>
      </c>
      <c r="C26" t="str">
        <f>IF(ISBLANK('Список деталей'!K35)," • ",SUBSTITUTE('Список деталей'!K35," ","•"))</f>
        <v xml:space="preserve"> • </v>
      </c>
    </row>
    <row r="27" spans="1:3" x14ac:dyDescent="0.45">
      <c r="A27" s="13" t="str">
        <f>IF(B27,CONCATENATE('Список деталей'!C36," ",'Список деталей'!D36," ",'Список деталей'!E36," ",C27," No•Material "," ",'Список деталей'!U36," 2 ",'Список деталей'!M36," ",'Список деталей'!N36," ",'Список деталей'!O36," ",'Список деталей'!P36," ",'Список деталей'!Q36," ",'Список деталей'!R36," ",'Список деталей'!S36," ",'Список деталей'!T36), "не данных")</f>
        <v>не данных</v>
      </c>
      <c r="B27" s="6" t="b">
        <f>AND(ISNUMBER('Список деталей'!C36),ISNUMBER('Список деталей'!D36),ISNUMBER('Список деталей'!E36))</f>
        <v>0</v>
      </c>
      <c r="C27" t="str">
        <f>IF(ISBLANK('Список деталей'!K36)," • ",SUBSTITUTE('Список деталей'!K36," ","•"))</f>
        <v xml:space="preserve"> • </v>
      </c>
    </row>
    <row r="28" spans="1:3" x14ac:dyDescent="0.45">
      <c r="A28" s="13" t="str">
        <f>IF(B28,CONCATENATE('Список деталей'!C37," ",'Список деталей'!D37," ",'Список деталей'!E37," ",C28," No•Material "," ",'Список деталей'!U37," 2 ",'Список деталей'!M37," ",'Список деталей'!N37," ",'Список деталей'!O37," ",'Список деталей'!P37," ",'Список деталей'!Q37," ",'Список деталей'!R37," ",'Список деталей'!S37," ",'Список деталей'!T37), "не данных")</f>
        <v>не данных</v>
      </c>
      <c r="B28" s="6" t="b">
        <f>AND(ISNUMBER('Список деталей'!C37),ISNUMBER('Список деталей'!D37),ISNUMBER('Список деталей'!E37))</f>
        <v>0</v>
      </c>
      <c r="C28" t="str">
        <f>IF(ISBLANK('Список деталей'!K37)," • ",SUBSTITUTE('Список деталей'!K37," ","•"))</f>
        <v xml:space="preserve"> • </v>
      </c>
    </row>
    <row r="29" spans="1:3" x14ac:dyDescent="0.45">
      <c r="A29" s="13" t="str">
        <f>IF(B29,CONCATENATE('Список деталей'!C38," ",'Список деталей'!D38," ",'Список деталей'!E38," ",C29," No•Material "," ",'Список деталей'!U38," 2 ",'Список деталей'!M38," ",'Список деталей'!N38," ",'Список деталей'!O38," ",'Список деталей'!P38," ",'Список деталей'!Q38," ",'Список деталей'!R38," ",'Список деталей'!S38," ",'Список деталей'!T38), "не данных")</f>
        <v>не данных</v>
      </c>
      <c r="B29" s="6" t="b">
        <f>AND(ISNUMBER('Список деталей'!C38),ISNUMBER('Список деталей'!D38),ISNUMBER('Список деталей'!E38))</f>
        <v>0</v>
      </c>
      <c r="C29" t="str">
        <f>IF(ISBLANK('Список деталей'!K38)," • ",SUBSTITUTE('Список деталей'!K38," ","•"))</f>
        <v xml:space="preserve"> • </v>
      </c>
    </row>
    <row r="30" spans="1:3" x14ac:dyDescent="0.45">
      <c r="A30" s="13" t="str">
        <f>IF(B30,CONCATENATE('Список деталей'!C39," ",'Список деталей'!D39," ",'Список деталей'!E39," ",C30," No•Material "," ",'Список деталей'!U39," 2 ",'Список деталей'!M39," ",'Список деталей'!N39," ",'Список деталей'!O39," ",'Список деталей'!P39," ",'Список деталей'!Q39," ",'Список деталей'!R39," ",'Список деталей'!S39," ",'Список деталей'!T39), "не данных")</f>
        <v>не данных</v>
      </c>
      <c r="B30" s="6" t="b">
        <f>AND(ISNUMBER('Список деталей'!C39),ISNUMBER('Список деталей'!D39),ISNUMBER('Список деталей'!E39))</f>
        <v>0</v>
      </c>
      <c r="C30" t="str">
        <f>IF(ISBLANK('Список деталей'!K39)," • ",SUBSTITUTE('Список деталей'!K39," ","•"))</f>
        <v xml:space="preserve"> • </v>
      </c>
    </row>
    <row r="31" spans="1:3" x14ac:dyDescent="0.45">
      <c r="A31" s="13" t="str">
        <f>IF(B31,CONCATENATE('Список деталей'!C40," ",'Список деталей'!D40," ",'Список деталей'!E40," ",C31," No•Material "," ",'Список деталей'!U40," 2 ",'Список деталей'!M40," ",'Список деталей'!N40," ",'Список деталей'!O40," ",'Список деталей'!P40," ",'Список деталей'!Q40," ",'Список деталей'!R40," ",'Список деталей'!S40," ",'Список деталей'!T40), "не данных")</f>
        <v>не данных</v>
      </c>
      <c r="B31" s="6" t="b">
        <f>AND(ISNUMBER('Список деталей'!C40),ISNUMBER('Список деталей'!D40),ISNUMBER('Список деталей'!E40))</f>
        <v>0</v>
      </c>
      <c r="C31" t="str">
        <f>IF(ISBLANK('Список деталей'!K40)," • ",SUBSTITUTE('Список деталей'!K40," ","•"))</f>
        <v xml:space="preserve"> • </v>
      </c>
    </row>
    <row r="32" spans="1:3" x14ac:dyDescent="0.45">
      <c r="A32" s="13" t="str">
        <f>IF(B32,CONCATENATE('Список деталей'!C41," ",'Список деталей'!D41," ",'Список деталей'!E41," ",C32," No•Material "," ",'Список деталей'!U41," 2 ",'Список деталей'!M41," ",'Список деталей'!N41," ",'Список деталей'!O41," ",'Список деталей'!P41," ",'Список деталей'!Q41," ",'Список деталей'!R41," ",'Список деталей'!S41," ",'Список деталей'!T41), "не данных")</f>
        <v>не данных</v>
      </c>
      <c r="B32" s="6" t="b">
        <f>AND(ISNUMBER('Список деталей'!C41),ISNUMBER('Список деталей'!D41),ISNUMBER('Список деталей'!E41))</f>
        <v>0</v>
      </c>
      <c r="C32" t="str">
        <f>IF(ISBLANK('Список деталей'!K41)," • ",SUBSTITUTE('Список деталей'!K41," ","•"))</f>
        <v xml:space="preserve"> • </v>
      </c>
    </row>
    <row r="33" spans="1:3" x14ac:dyDescent="0.45">
      <c r="A33" s="13" t="str">
        <f>IF(B33,CONCATENATE('Список деталей'!C42," ",'Список деталей'!D42," ",'Список деталей'!E42," ",C33," No•Material "," ",'Список деталей'!U42," 2 ",'Список деталей'!M42," ",'Список деталей'!N42," ",'Список деталей'!O42," ",'Список деталей'!P42," ",'Список деталей'!Q42," ",'Список деталей'!R42," ",'Список деталей'!S42," ",'Список деталей'!T42), "не данных")</f>
        <v>не данных</v>
      </c>
      <c r="B33" s="6" t="b">
        <f>AND(ISNUMBER('Список деталей'!C42),ISNUMBER('Список деталей'!D42),ISNUMBER('Список деталей'!E42))</f>
        <v>0</v>
      </c>
      <c r="C33" t="str">
        <f>IF(ISBLANK('Список деталей'!K42)," • ",SUBSTITUTE('Список деталей'!K42," ","•"))</f>
        <v xml:space="preserve"> • </v>
      </c>
    </row>
    <row r="34" spans="1:3" x14ac:dyDescent="0.45">
      <c r="A34" s="13" t="str">
        <f>IF(B34,CONCATENATE('Список деталей'!C43," ",'Список деталей'!D43," ",'Список деталей'!E43," ",C34," No•Material "," ",'Список деталей'!U43," 2 ",'Список деталей'!M43," ",'Список деталей'!N43," ",'Список деталей'!O43," ",'Список деталей'!P43," ",'Список деталей'!Q43," ",'Список деталей'!R43," ",'Список деталей'!S43," ",'Список деталей'!T43), "не данных")</f>
        <v>не данных</v>
      </c>
      <c r="B34" s="6" t="b">
        <f>AND(ISNUMBER('Список деталей'!C43),ISNUMBER('Список деталей'!D43),ISNUMBER('Список деталей'!E43))</f>
        <v>0</v>
      </c>
      <c r="C34" t="str">
        <f>IF(ISBLANK('Список деталей'!K43)," • ",SUBSTITUTE('Список деталей'!K43," ","•"))</f>
        <v xml:space="preserve"> • </v>
      </c>
    </row>
    <row r="35" spans="1:3" x14ac:dyDescent="0.45">
      <c r="A35" s="13" t="str">
        <f>IF(B35,CONCATENATE('Список деталей'!C44," ",'Список деталей'!D44," ",'Список деталей'!E44," ",C35," No•Material "," ",'Список деталей'!U44," 2 ",'Список деталей'!M44," ",'Список деталей'!N44," ",'Список деталей'!O44," ",'Список деталей'!P44," ",'Список деталей'!Q44," ",'Список деталей'!R44," ",'Список деталей'!S44," ",'Список деталей'!T44), "не данных")</f>
        <v>не данных</v>
      </c>
      <c r="B35" s="6" t="b">
        <f>AND(ISNUMBER('Список деталей'!C44),ISNUMBER('Список деталей'!D44),ISNUMBER('Список деталей'!E44))</f>
        <v>0</v>
      </c>
      <c r="C35" t="str">
        <f>IF(ISBLANK('Список деталей'!K44)," • ",SUBSTITUTE('Список деталей'!K44," ","•"))</f>
        <v xml:space="preserve"> • </v>
      </c>
    </row>
    <row r="36" spans="1:3" x14ac:dyDescent="0.45">
      <c r="A36" s="13" t="str">
        <f>IF(B36,CONCATENATE('Список деталей'!C45," ",'Список деталей'!D45," ",'Список деталей'!E45," ",C36," No•Material "," ",'Список деталей'!U45," 2 ",'Список деталей'!M45," ",'Список деталей'!N45," ",'Список деталей'!O45," ",'Список деталей'!P45," ",'Список деталей'!Q45," ",'Список деталей'!R45," ",'Список деталей'!S45," ",'Список деталей'!T45), "не данных")</f>
        <v>не данных</v>
      </c>
      <c r="B36" s="6" t="b">
        <f>AND(ISNUMBER('Список деталей'!C45),ISNUMBER('Список деталей'!D45),ISNUMBER('Список деталей'!E45))</f>
        <v>0</v>
      </c>
      <c r="C36" t="str">
        <f>IF(ISBLANK('Список деталей'!K45)," • ",SUBSTITUTE('Список деталей'!K45," ","•"))</f>
        <v xml:space="preserve"> • </v>
      </c>
    </row>
    <row r="37" spans="1:3" x14ac:dyDescent="0.45">
      <c r="A37" s="13" t="str">
        <f>IF(B37,CONCATENATE('Список деталей'!C46," ",'Список деталей'!D46," ",'Список деталей'!E46," ",C37," No•Material "," ",'Список деталей'!U46," 2 ",'Список деталей'!M46," ",'Список деталей'!N46," ",'Список деталей'!O46," ",'Список деталей'!P46," ",'Список деталей'!Q46," ",'Список деталей'!R46," ",'Список деталей'!S46," ",'Список деталей'!T46), "не данных")</f>
        <v>не данных</v>
      </c>
      <c r="B37" s="6" t="b">
        <f>AND(ISNUMBER('Список деталей'!C46),ISNUMBER('Список деталей'!D46),ISNUMBER('Список деталей'!E46))</f>
        <v>0</v>
      </c>
      <c r="C37" t="str">
        <f>IF(ISBLANK('Список деталей'!K46)," • ",SUBSTITUTE('Список деталей'!K46," ","•"))</f>
        <v xml:space="preserve"> • </v>
      </c>
    </row>
    <row r="38" spans="1:3" x14ac:dyDescent="0.45">
      <c r="A38" s="13" t="str">
        <f>IF(B38,CONCATENATE('Список деталей'!C47," ",'Список деталей'!D47," ",'Список деталей'!E47," ",C38," No•Material "," ",'Список деталей'!U47," 2 ",'Список деталей'!M47," ",'Список деталей'!N47," ",'Список деталей'!O47," ",'Список деталей'!P47," ",'Список деталей'!Q47," ",'Список деталей'!R47," ",'Список деталей'!S47," ",'Список деталей'!T47), "не данных")</f>
        <v>не данных</v>
      </c>
      <c r="B38" s="6" t="b">
        <f>AND(ISNUMBER('Список деталей'!C47),ISNUMBER('Список деталей'!D47),ISNUMBER('Список деталей'!E47))</f>
        <v>0</v>
      </c>
      <c r="C38" t="str">
        <f>IF(ISBLANK('Список деталей'!K47)," • ",SUBSTITUTE('Список деталей'!K47," ","•"))</f>
        <v xml:space="preserve"> • </v>
      </c>
    </row>
    <row r="39" spans="1:3" x14ac:dyDescent="0.45">
      <c r="A39" s="13" t="str">
        <f>IF(B39,CONCATENATE('Список деталей'!C48," ",'Список деталей'!D48," ",'Список деталей'!E48," ",C39," No•Material "," ",'Список деталей'!U48," 2 ",'Список деталей'!M48," ",'Список деталей'!N48," ",'Список деталей'!O48," ",'Список деталей'!P48," ",'Список деталей'!Q48," ",'Список деталей'!R48," ",'Список деталей'!S48," ",'Список деталей'!T48), "не данных")</f>
        <v>не данных</v>
      </c>
      <c r="B39" s="6" t="b">
        <f>AND(ISNUMBER('Список деталей'!C48),ISNUMBER('Список деталей'!D48),ISNUMBER('Список деталей'!E48))</f>
        <v>0</v>
      </c>
      <c r="C39" t="str">
        <f>IF(ISBLANK('Список деталей'!K48)," • ",SUBSTITUTE('Список деталей'!K48," ","•"))</f>
        <v xml:space="preserve"> • </v>
      </c>
    </row>
    <row r="40" spans="1:3" x14ac:dyDescent="0.45">
      <c r="A40" s="13" t="str">
        <f>IF(B40,CONCATENATE('Список деталей'!C49," ",'Список деталей'!D49," ",'Список деталей'!E49," ",C40," No•Material "," ",'Список деталей'!U49," 2 ",'Список деталей'!M49," ",'Список деталей'!N49," ",'Список деталей'!O49," ",'Список деталей'!P49," ",'Список деталей'!Q49," ",'Список деталей'!R49," ",'Список деталей'!S49," ",'Список деталей'!T49), "не данных")</f>
        <v>не данных</v>
      </c>
      <c r="B40" s="6" t="b">
        <f>AND(ISNUMBER('Список деталей'!C49),ISNUMBER('Список деталей'!D49),ISNUMBER('Список деталей'!E49))</f>
        <v>0</v>
      </c>
      <c r="C40" t="str">
        <f>IF(ISBLANK('Список деталей'!K49)," • ",SUBSTITUTE('Список деталей'!K49," ","•"))</f>
        <v xml:space="preserve"> • </v>
      </c>
    </row>
    <row r="41" spans="1:3" x14ac:dyDescent="0.45">
      <c r="A41" s="13" t="str">
        <f>IF(B41,CONCATENATE('Список деталей'!C50," ",'Список деталей'!D50," ",'Список деталей'!E50," ",C41," No•Material "," ",'Список деталей'!U50," 2 ",'Список деталей'!M50," ",'Список деталей'!N50," ",'Список деталей'!O50," ",'Список деталей'!P50," ",'Список деталей'!Q50," ",'Список деталей'!R50," ",'Список деталей'!S50," ",'Список деталей'!T50), "не данных")</f>
        <v>не данных</v>
      </c>
      <c r="B41" s="6" t="b">
        <f>AND(ISNUMBER('Список деталей'!C50),ISNUMBER('Список деталей'!D50),ISNUMBER('Список деталей'!E50))</f>
        <v>0</v>
      </c>
      <c r="C41" t="str">
        <f>IF(ISBLANK('Список деталей'!K50)," • ",SUBSTITUTE('Список деталей'!K50," ","•"))</f>
        <v xml:space="preserve"> • </v>
      </c>
    </row>
    <row r="42" spans="1:3" x14ac:dyDescent="0.45">
      <c r="A42" s="13" t="str">
        <f>IF(B42,CONCATENATE('Список деталей'!C51," ",'Список деталей'!D51," ",'Список деталей'!E51," ",C42," No•Material "," ",'Список деталей'!U51," 2 ",'Список деталей'!M51," ",'Список деталей'!N51," ",'Список деталей'!O51," ",'Список деталей'!P51," ",'Список деталей'!Q51," ",'Список деталей'!R51," ",'Список деталей'!S51," ",'Список деталей'!T51), "не данных")</f>
        <v>не данных</v>
      </c>
      <c r="B42" s="6" t="b">
        <f>AND(ISNUMBER('Список деталей'!C51),ISNUMBER('Список деталей'!D51),ISNUMBER('Список деталей'!E51))</f>
        <v>0</v>
      </c>
      <c r="C42" t="str">
        <f>IF(ISBLANK('Список деталей'!K51)," • ",SUBSTITUTE('Список деталей'!K51," ","•"))</f>
        <v xml:space="preserve"> • </v>
      </c>
    </row>
    <row r="43" spans="1:3" x14ac:dyDescent="0.45">
      <c r="A43" s="13" t="str">
        <f>IF(B43,CONCATENATE('Список деталей'!C52," ",'Список деталей'!D52," ",'Список деталей'!E52," ",C43," No•Material "," ",'Список деталей'!U52," 2 ",'Список деталей'!M52," ",'Список деталей'!N52," ",'Список деталей'!O52," ",'Список деталей'!P52," ",'Список деталей'!Q52," ",'Список деталей'!R52," ",'Список деталей'!S52," ",'Список деталей'!T52), "не данных")</f>
        <v>не данных</v>
      </c>
      <c r="B43" s="6" t="b">
        <f>AND(ISNUMBER('Список деталей'!C52),ISNUMBER('Список деталей'!D52),ISNUMBER('Список деталей'!E52))</f>
        <v>0</v>
      </c>
      <c r="C43" t="str">
        <f>IF(ISBLANK('Список деталей'!K52)," • ",SUBSTITUTE('Список деталей'!K52," ","•"))</f>
        <v xml:space="preserve"> • </v>
      </c>
    </row>
    <row r="44" spans="1:3" x14ac:dyDescent="0.45">
      <c r="A44" s="13" t="str">
        <f>IF(B44,CONCATENATE('Список деталей'!C53," ",'Список деталей'!D53," ",'Список деталей'!E53," ",C44," No•Material "," ",'Список деталей'!U53," 2 ",'Список деталей'!M53," ",'Список деталей'!N53," ",'Список деталей'!O53," ",'Список деталей'!P53," ",'Список деталей'!Q53," ",'Список деталей'!R53," ",'Список деталей'!S53," ",'Список деталей'!T53), "не данных")</f>
        <v>не данных</v>
      </c>
      <c r="B44" s="6" t="b">
        <f>AND(ISNUMBER('Список деталей'!C53),ISNUMBER('Список деталей'!D53),ISNUMBER('Список деталей'!E53))</f>
        <v>0</v>
      </c>
      <c r="C44" t="str">
        <f>IF(ISBLANK('Список деталей'!K53)," • ",SUBSTITUTE('Список деталей'!K53," ","•"))</f>
        <v xml:space="preserve"> • </v>
      </c>
    </row>
    <row r="45" spans="1:3" x14ac:dyDescent="0.45">
      <c r="A45" s="13" t="str">
        <f>IF(B45,CONCATENATE('Список деталей'!C54," ",'Список деталей'!D54," ",'Список деталей'!E54," ",C45," No•Material "," ",'Список деталей'!U54," 2 ",'Список деталей'!M54," ",'Список деталей'!N54," ",'Список деталей'!O54," ",'Список деталей'!P54," ",'Список деталей'!Q54," ",'Список деталей'!R54," ",'Список деталей'!S54," ",'Список деталей'!T54), "не данных")</f>
        <v>не данных</v>
      </c>
      <c r="B45" s="6" t="b">
        <f>AND(ISNUMBER('Список деталей'!C54),ISNUMBER('Список деталей'!D54),ISNUMBER('Список деталей'!E54))</f>
        <v>0</v>
      </c>
      <c r="C45" t="str">
        <f>IF(ISBLANK('Список деталей'!K54)," • ",SUBSTITUTE('Список деталей'!K54," ","•"))</f>
        <v xml:space="preserve"> • </v>
      </c>
    </row>
    <row r="46" spans="1:3" x14ac:dyDescent="0.45">
      <c r="A46" s="13" t="str">
        <f>IF(B46,CONCATENATE('Список деталей'!C55," ",'Список деталей'!D55," ",'Список деталей'!E55," ",C46," No•Material "," ",'Список деталей'!U55," 2 ",'Список деталей'!M55," ",'Список деталей'!N55," ",'Список деталей'!O55," ",'Список деталей'!P55," ",'Список деталей'!Q55," ",'Список деталей'!R55," ",'Список деталей'!S55," ",'Список деталей'!T55), "не данных")</f>
        <v>не данных</v>
      </c>
      <c r="B46" s="6" t="b">
        <f>AND(ISNUMBER('Список деталей'!C55),ISNUMBER('Список деталей'!D55),ISNUMBER('Список деталей'!E55))</f>
        <v>0</v>
      </c>
      <c r="C46" t="str">
        <f>IF(ISBLANK('Список деталей'!K55)," • ",SUBSTITUTE('Список деталей'!K55," ","•"))</f>
        <v xml:space="preserve"> • </v>
      </c>
    </row>
    <row r="47" spans="1:3" x14ac:dyDescent="0.45">
      <c r="A47" s="13" t="str">
        <f>IF(B47,CONCATENATE('Список деталей'!C56," ",'Список деталей'!D56," ",'Список деталей'!E56," ",C47," No•Material "," ",'Список деталей'!U56," 2 ",'Список деталей'!M56," ",'Список деталей'!N56," ",'Список деталей'!O56," ",'Список деталей'!P56," ",'Список деталей'!Q56," ",'Список деталей'!R56," ",'Список деталей'!S56," ",'Список деталей'!T56), "не данных")</f>
        <v>не данных</v>
      </c>
      <c r="B47" s="6" t="b">
        <f>AND(ISNUMBER('Список деталей'!C56),ISNUMBER('Список деталей'!D56),ISNUMBER('Список деталей'!E56))</f>
        <v>0</v>
      </c>
      <c r="C47" t="str">
        <f>IF(ISBLANK('Список деталей'!K56)," • ",SUBSTITUTE('Список деталей'!K56," ","•"))</f>
        <v xml:space="preserve"> • </v>
      </c>
    </row>
    <row r="48" spans="1:3" x14ac:dyDescent="0.45">
      <c r="A48" s="13" t="str">
        <f>IF(B48,CONCATENATE('Список деталей'!C57," ",'Список деталей'!D57," ",'Список деталей'!E57," ",C48," No•Material "," ",'Список деталей'!U57," 2 ",'Список деталей'!M57," ",'Список деталей'!N57," ",'Список деталей'!O57," ",'Список деталей'!P57," ",'Список деталей'!Q57," ",'Список деталей'!R57," ",'Список деталей'!S57," ",'Список деталей'!T57), "не данных")</f>
        <v>не данных</v>
      </c>
      <c r="B48" s="6" t="b">
        <f>AND(ISNUMBER('Список деталей'!C57),ISNUMBER('Список деталей'!D57),ISNUMBER('Список деталей'!E57))</f>
        <v>0</v>
      </c>
      <c r="C48" t="str">
        <f>IF(ISBLANK('Список деталей'!K57)," • ",SUBSTITUTE('Список деталей'!K57," ","•"))</f>
        <v xml:space="preserve"> • </v>
      </c>
    </row>
    <row r="49" spans="1:3" x14ac:dyDescent="0.45">
      <c r="A49" s="13" t="str">
        <f>IF(B49,CONCATENATE('Список деталей'!C58," ",'Список деталей'!D58," ",'Список деталей'!E58," ",C49," No•Material "," ",'Список деталей'!U58," 2 ",'Список деталей'!M58," ",'Список деталей'!N58," ",'Список деталей'!O58," ",'Список деталей'!P58," ",'Список деталей'!Q58," ",'Список деталей'!R58," ",'Список деталей'!S58," ",'Список деталей'!T58), "не данных")</f>
        <v>не данных</v>
      </c>
      <c r="B49" s="6" t="b">
        <f>AND(ISNUMBER('Список деталей'!C58),ISNUMBER('Список деталей'!D58),ISNUMBER('Список деталей'!E58))</f>
        <v>0</v>
      </c>
      <c r="C49" t="str">
        <f>IF(ISBLANK('Список деталей'!K58)," • ",SUBSTITUTE('Список деталей'!K58," ","•"))</f>
        <v xml:space="preserve"> • </v>
      </c>
    </row>
    <row r="50" spans="1:3" x14ac:dyDescent="0.45">
      <c r="A50" s="13" t="str">
        <f>IF(B50,CONCATENATE('Список деталей'!C59," ",'Список деталей'!D59," ",'Список деталей'!E59," ",C50," No•Material "," ",'Список деталей'!U59," 2 ",'Список деталей'!M59," ",'Список деталей'!N59," ",'Список деталей'!O59," ",'Список деталей'!P59," ",'Список деталей'!Q59," ",'Список деталей'!R59," ",'Список деталей'!S59," ",'Список деталей'!T59), "не данных")</f>
        <v>не данных</v>
      </c>
      <c r="B50" s="6" t="b">
        <f>AND(ISNUMBER('Список деталей'!C59),ISNUMBER('Список деталей'!D59),ISNUMBER('Список деталей'!E59))</f>
        <v>0</v>
      </c>
      <c r="C50" t="str">
        <f>IF(ISBLANK('Список деталей'!K59)," • ",SUBSTITUTE('Список деталей'!K59," ","•"))</f>
        <v xml:space="preserve"> • </v>
      </c>
    </row>
    <row r="51" spans="1:3" x14ac:dyDescent="0.45">
      <c r="A51" s="13" t="str">
        <f>IF(B51,CONCATENATE('Список деталей'!C60," ",'Список деталей'!D60," ",'Список деталей'!E60," ",C51," No•Material "," ",'Список деталей'!U60," 2 ",'Список деталей'!M60," ",'Список деталей'!N60," ",'Список деталей'!O60," ",'Список деталей'!P60," ",'Список деталей'!Q60," ",'Список деталей'!R60," ",'Список деталей'!S60," ",'Список деталей'!T60), "не данных")</f>
        <v>не данных</v>
      </c>
      <c r="B51" s="6" t="b">
        <f>AND(ISNUMBER('Список деталей'!C60),ISNUMBER('Список деталей'!D60),ISNUMBER('Список деталей'!E60))</f>
        <v>0</v>
      </c>
      <c r="C51" t="str">
        <f>IF(ISBLANK('Список деталей'!K60)," • ",SUBSTITUTE('Список деталей'!K60," ","•"))</f>
        <v xml:space="preserve"> • </v>
      </c>
    </row>
    <row r="52" spans="1:3" x14ac:dyDescent="0.45">
      <c r="A52" s="13" t="str">
        <f>IF(B52,CONCATENATE('Список деталей'!C61," ",'Список деталей'!D61," ",'Список деталей'!E61," ",C52," No•Material "," ",'Список деталей'!U61," 2 ",'Список деталей'!M61," ",'Список деталей'!N61," ",'Список деталей'!O61," ",'Список деталей'!P61," ",'Список деталей'!Q61," ",'Список деталей'!R61," ",'Список деталей'!S61," ",'Список деталей'!T61), "не данных")</f>
        <v>не данных</v>
      </c>
      <c r="B52" s="6" t="b">
        <f>AND(ISNUMBER('Список деталей'!C61),ISNUMBER('Список деталей'!D61),ISNUMBER('Список деталей'!E61))</f>
        <v>0</v>
      </c>
      <c r="C52" t="str">
        <f>IF(ISBLANK('Список деталей'!K61)," • ",SUBSTITUTE('Список деталей'!K61," ","•"))</f>
        <v xml:space="preserve"> • </v>
      </c>
    </row>
    <row r="53" spans="1:3" x14ac:dyDescent="0.45">
      <c r="A53" s="13" t="str">
        <f>IF(B53,CONCATENATE('Список деталей'!C62," ",'Список деталей'!D62," ",'Список деталей'!E62," ",C53," No•Material "," ",'Список деталей'!U62," 2 ",'Список деталей'!M62," ",'Список деталей'!N62," ",'Список деталей'!O62," ",'Список деталей'!P62," ",'Список деталей'!Q62," ",'Список деталей'!R62," ",'Список деталей'!S62," ",'Список деталей'!T62), "не данных")</f>
        <v>не данных</v>
      </c>
      <c r="B53" s="6" t="b">
        <f>AND(ISNUMBER('Список деталей'!C62),ISNUMBER('Список деталей'!D62),ISNUMBER('Список деталей'!E62))</f>
        <v>0</v>
      </c>
      <c r="C53" t="str">
        <f>IF(ISBLANK('Список деталей'!K62)," • ",SUBSTITUTE('Список деталей'!K62," ","•"))</f>
        <v xml:space="preserve"> • </v>
      </c>
    </row>
    <row r="54" spans="1:3" x14ac:dyDescent="0.45">
      <c r="A54" s="13" t="str">
        <f>IF(B54,CONCATENATE('Список деталей'!C63," ",'Список деталей'!D63," ",'Список деталей'!E63," ",C54," No•Material "," ",'Список деталей'!U63," 2 ",'Список деталей'!M63," ",'Список деталей'!N63," ",'Список деталей'!O63," ",'Список деталей'!P63," ",'Список деталей'!Q63," ",'Список деталей'!R63," ",'Список деталей'!S63," ",'Список деталей'!T63), "не данных")</f>
        <v>не данных</v>
      </c>
      <c r="B54" s="6" t="b">
        <f>AND(ISNUMBER('Список деталей'!C63),ISNUMBER('Список деталей'!D63),ISNUMBER('Список деталей'!E63))</f>
        <v>0</v>
      </c>
      <c r="C54" t="str">
        <f>IF(ISBLANK('Список деталей'!K63)," • ",SUBSTITUTE('Список деталей'!K63," ","•"))</f>
        <v xml:space="preserve"> • </v>
      </c>
    </row>
    <row r="55" spans="1:3" x14ac:dyDescent="0.45">
      <c r="A55" s="13" t="str">
        <f>IF(B55,CONCATENATE('Список деталей'!C64," ",'Список деталей'!D64," ",'Список деталей'!E64," ",C55," No•Material "," ",'Список деталей'!U64," 2 ",'Список деталей'!M64," ",'Список деталей'!N64," ",'Список деталей'!O64," ",'Список деталей'!P64," ",'Список деталей'!Q64," ",'Список деталей'!R64," ",'Список деталей'!S64," ",'Список деталей'!T64), "не данных")</f>
        <v>не данных</v>
      </c>
      <c r="B55" s="6" t="b">
        <f>AND(ISNUMBER('Список деталей'!C64),ISNUMBER('Список деталей'!D64),ISNUMBER('Список деталей'!E64))</f>
        <v>0</v>
      </c>
      <c r="C55" t="str">
        <f>IF(ISBLANK('Список деталей'!K64)," • ",SUBSTITUTE('Список деталей'!K64," ","•"))</f>
        <v xml:space="preserve"> • </v>
      </c>
    </row>
    <row r="56" spans="1:3" x14ac:dyDescent="0.45">
      <c r="A56" s="13" t="str">
        <f>IF(B56,CONCATENATE('Список деталей'!C65," ",'Список деталей'!D65," ",'Список деталей'!E65," ",C56," No•Material "," ",'Список деталей'!U65," 2 ",'Список деталей'!M65," ",'Список деталей'!N65," ",'Список деталей'!O65," ",'Список деталей'!P65," ",'Список деталей'!Q65," ",'Список деталей'!R65," ",'Список деталей'!S65," ",'Список деталей'!T65), "не данных")</f>
        <v>не данных</v>
      </c>
      <c r="B56" s="6" t="b">
        <f>AND(ISNUMBER('Список деталей'!C65),ISNUMBER('Список деталей'!D65),ISNUMBER('Список деталей'!E65))</f>
        <v>0</v>
      </c>
      <c r="C56" t="str">
        <f>IF(ISBLANK('Список деталей'!K65)," • ",SUBSTITUTE('Список деталей'!K65," ","•"))</f>
        <v xml:space="preserve"> • </v>
      </c>
    </row>
    <row r="57" spans="1:3" x14ac:dyDescent="0.45">
      <c r="A57" s="13" t="str">
        <f>IF(B57,CONCATENATE('Список деталей'!C66," ",'Список деталей'!D66," ",'Список деталей'!E66," ",C57," No•Material "," ",'Список деталей'!U66," 2 ",'Список деталей'!M66," ",'Список деталей'!N66," ",'Список деталей'!O66," ",'Список деталей'!P66," ",'Список деталей'!Q66," ",'Список деталей'!R66," ",'Список деталей'!S66," ",'Список деталей'!T66), "не данных")</f>
        <v>не данных</v>
      </c>
      <c r="B57" s="6" t="b">
        <f>AND(ISNUMBER('Список деталей'!C66),ISNUMBER('Список деталей'!D66),ISNUMBER('Список деталей'!E66))</f>
        <v>0</v>
      </c>
      <c r="C57" t="str">
        <f>IF(ISBLANK('Список деталей'!K66)," • ",SUBSTITUTE('Список деталей'!K66," ","•"))</f>
        <v xml:space="preserve"> • </v>
      </c>
    </row>
    <row r="58" spans="1:3" x14ac:dyDescent="0.45">
      <c r="A58" s="13" t="str">
        <f>IF(B58,CONCATENATE('Список деталей'!C67," ",'Список деталей'!D67," ",'Список деталей'!E67," ",C58," No•Material "," ",'Список деталей'!U67," 2 ",'Список деталей'!M67," ",'Список деталей'!N67," ",'Список деталей'!O67," ",'Список деталей'!P67," ",'Список деталей'!Q67," ",'Список деталей'!R67," ",'Список деталей'!S67," ",'Список деталей'!T67), "не данных")</f>
        <v>не данных</v>
      </c>
      <c r="B58" s="6" t="b">
        <f>AND(ISNUMBER('Список деталей'!C67),ISNUMBER('Список деталей'!D67),ISNUMBER('Список деталей'!E67))</f>
        <v>0</v>
      </c>
      <c r="C58" t="str">
        <f>IF(ISBLANK('Список деталей'!K67)," • ",SUBSTITUTE('Список деталей'!K67," ","•"))</f>
        <v xml:space="preserve"> • </v>
      </c>
    </row>
    <row r="59" spans="1:3" x14ac:dyDescent="0.45">
      <c r="A59" s="13" t="str">
        <f>IF(B59,CONCATENATE('Список деталей'!C68," ",'Список деталей'!D68," ",'Список деталей'!E68," ",C59," No•Material "," ",'Список деталей'!U68," 2 ",'Список деталей'!M68," ",'Список деталей'!N68," ",'Список деталей'!O68," ",'Список деталей'!P68," ",'Список деталей'!Q68," ",'Список деталей'!R68," ",'Список деталей'!S68," ",'Список деталей'!T68), "не данных")</f>
        <v>не данных</v>
      </c>
      <c r="B59" s="6" t="b">
        <f>AND(ISNUMBER('Список деталей'!C68),ISNUMBER('Список деталей'!D68),ISNUMBER('Список деталей'!E68))</f>
        <v>0</v>
      </c>
      <c r="C59" t="str">
        <f>IF(ISBLANK('Список деталей'!K68)," • ",SUBSTITUTE('Список деталей'!K68," ","•"))</f>
        <v xml:space="preserve"> • </v>
      </c>
    </row>
    <row r="60" spans="1:3" x14ac:dyDescent="0.45">
      <c r="A60" s="13" t="str">
        <f>IF(B60,CONCATENATE('Список деталей'!C69," ",'Список деталей'!D69," ",'Список деталей'!E69," ",C60," No•Material "," ",'Список деталей'!U69," 2 ",'Список деталей'!M69," ",'Список деталей'!N69," ",'Список деталей'!O69," ",'Список деталей'!P69," ",'Список деталей'!Q69," ",'Список деталей'!R69," ",'Список деталей'!S69," ",'Список деталей'!T69), "не данных")</f>
        <v>не данных</v>
      </c>
      <c r="B60" s="6" t="b">
        <f>AND(ISNUMBER('Список деталей'!C69),ISNUMBER('Список деталей'!D69),ISNUMBER('Список деталей'!E69))</f>
        <v>0</v>
      </c>
      <c r="C60" t="str">
        <f>IF(ISBLANK('Список деталей'!K69)," • ",SUBSTITUTE('Список деталей'!K69," ","•"))</f>
        <v xml:space="preserve"> • </v>
      </c>
    </row>
    <row r="61" spans="1:3" x14ac:dyDescent="0.45">
      <c r="A61" s="13" t="str">
        <f>IF(B61,CONCATENATE('Список деталей'!C70," ",'Список деталей'!D70," ",'Список деталей'!E70," ",C61," No•Material "," ",'Список деталей'!U70," 2 ",'Список деталей'!M70," ",'Список деталей'!N70," ",'Список деталей'!O70," ",'Список деталей'!P70," ",'Список деталей'!Q70," ",'Список деталей'!R70," ",'Список деталей'!S70," ",'Список деталей'!T70), "не данных")</f>
        <v>не данных</v>
      </c>
      <c r="B61" s="6" t="b">
        <f>AND(ISNUMBER('Список деталей'!C70),ISNUMBER('Список деталей'!D70),ISNUMBER('Список деталей'!E70))</f>
        <v>0</v>
      </c>
      <c r="C61" t="str">
        <f>IF(ISBLANK('Список деталей'!K70)," • ",SUBSTITUTE('Список деталей'!K70," ","•"))</f>
        <v xml:space="preserve"> • </v>
      </c>
    </row>
    <row r="62" spans="1:3" x14ac:dyDescent="0.45">
      <c r="A62" s="13" t="str">
        <f>IF(B62,CONCATENATE('Список деталей'!C71," ",'Список деталей'!D71," ",'Список деталей'!E71," ",C62," No•Material "," ",'Список деталей'!U71," 2 ",'Список деталей'!M71," ",'Список деталей'!N71," ",'Список деталей'!O71," ",'Список деталей'!P71," ",'Список деталей'!Q71," ",'Список деталей'!R71," ",'Список деталей'!S71," ",'Список деталей'!T71), "не данных")</f>
        <v>не данных</v>
      </c>
      <c r="B62" s="6" t="b">
        <f>AND(ISNUMBER('Список деталей'!C71),ISNUMBER('Список деталей'!D71),ISNUMBER('Список деталей'!E71))</f>
        <v>0</v>
      </c>
      <c r="C62" t="str">
        <f>IF(ISBLANK('Список деталей'!K71)," • ",SUBSTITUTE('Список деталей'!K71," ","•"))</f>
        <v xml:space="preserve"> • </v>
      </c>
    </row>
    <row r="63" spans="1:3" x14ac:dyDescent="0.45">
      <c r="A63" s="13" t="str">
        <f>IF(B63,CONCATENATE('Список деталей'!C72," ",'Список деталей'!D72," ",'Список деталей'!E72," ",C63," No•Material "," ",'Список деталей'!U72," 2 ",'Список деталей'!M72," ",'Список деталей'!N72," ",'Список деталей'!O72," ",'Список деталей'!P72," ",'Список деталей'!Q72," ",'Список деталей'!R72," ",'Список деталей'!S72," ",'Список деталей'!T72), "не данных")</f>
        <v>не данных</v>
      </c>
      <c r="B63" s="6" t="b">
        <f>AND(ISNUMBER('Список деталей'!C72),ISNUMBER('Список деталей'!D72),ISNUMBER('Список деталей'!E72))</f>
        <v>0</v>
      </c>
      <c r="C63" t="str">
        <f>IF(ISBLANK('Список деталей'!K72)," • ",SUBSTITUTE('Список деталей'!K72," ","•"))</f>
        <v xml:space="preserve"> • </v>
      </c>
    </row>
    <row r="64" spans="1:3" x14ac:dyDescent="0.45">
      <c r="A64" s="13" t="str">
        <f>IF(B64,CONCATENATE('Список деталей'!C73," ",'Список деталей'!D73," ",'Список деталей'!E73," ",C64," No•Material "," ",'Список деталей'!U73," 2 ",'Список деталей'!M73," ",'Список деталей'!N73," ",'Список деталей'!O73," ",'Список деталей'!P73," ",'Список деталей'!Q73," ",'Список деталей'!R73," ",'Список деталей'!S73," ",'Список деталей'!T73), "не данных")</f>
        <v>не данных</v>
      </c>
      <c r="B64" s="6" t="b">
        <f>AND(ISNUMBER('Список деталей'!C73),ISNUMBER('Список деталей'!D73),ISNUMBER('Список деталей'!E73))</f>
        <v>0</v>
      </c>
      <c r="C64" t="str">
        <f>IF(ISBLANK('Список деталей'!K73)," • ",SUBSTITUTE('Список деталей'!K73," ","•"))</f>
        <v xml:space="preserve"> • </v>
      </c>
    </row>
    <row r="65" spans="1:3" x14ac:dyDescent="0.45">
      <c r="A65" s="13" t="str">
        <f>IF(B65,CONCATENATE('Список деталей'!C74," ",'Список деталей'!D74," ",'Список деталей'!E74," ",C65," No•Material "," ",'Список деталей'!U74," 2 ",'Список деталей'!M74," ",'Список деталей'!N74," ",'Список деталей'!O74," ",'Список деталей'!P74," ",'Список деталей'!Q74," ",'Список деталей'!R74," ",'Список деталей'!S74," ",'Список деталей'!T74), "не данных")</f>
        <v>не данных</v>
      </c>
      <c r="B65" s="6" t="b">
        <f>AND(ISNUMBER('Список деталей'!C74),ISNUMBER('Список деталей'!D74),ISNUMBER('Список деталей'!E74))</f>
        <v>0</v>
      </c>
      <c r="C65" t="str">
        <f>IF(ISBLANK('Список деталей'!K74)," • ",SUBSTITUTE('Список деталей'!K74," ","•"))</f>
        <v xml:space="preserve"> • </v>
      </c>
    </row>
    <row r="66" spans="1:3" x14ac:dyDescent="0.45">
      <c r="A66" s="13" t="str">
        <f>IF(B66,CONCATENATE('Список деталей'!C75," ",'Список деталей'!D75," ",'Список деталей'!E75," ",C66," No•Material "," ",'Список деталей'!U75," 2 ",'Список деталей'!M75," ",'Список деталей'!N75," ",'Список деталей'!O75," ",'Список деталей'!P75," ",'Список деталей'!Q75," ",'Список деталей'!R75," ",'Список деталей'!S75," ",'Список деталей'!T75), "не данных")</f>
        <v>не данных</v>
      </c>
      <c r="B66" s="6" t="b">
        <f>AND(ISNUMBER('Список деталей'!C75),ISNUMBER('Список деталей'!D75),ISNUMBER('Список деталей'!E75))</f>
        <v>0</v>
      </c>
      <c r="C66" t="str">
        <f>IF(ISBLANK('Список деталей'!K75)," • ",SUBSTITUTE('Список деталей'!K75," ","•"))</f>
        <v xml:space="preserve"> • </v>
      </c>
    </row>
    <row r="67" spans="1:3" x14ac:dyDescent="0.45">
      <c r="A67" s="13" t="str">
        <f>IF(B67,CONCATENATE('Список деталей'!C76," ",'Список деталей'!D76," ",'Список деталей'!E76," ",C67," No•Material "," ",'Список деталей'!U76," 2 ",'Список деталей'!M76," ",'Список деталей'!N76," ",'Список деталей'!O76," ",'Список деталей'!P76," ",'Список деталей'!Q76," ",'Список деталей'!R76," ",'Список деталей'!S76," ",'Список деталей'!T76), "не данных")</f>
        <v>не данных</v>
      </c>
      <c r="B67" s="6" t="b">
        <f>AND(ISNUMBER('Список деталей'!C76),ISNUMBER('Список деталей'!D76),ISNUMBER('Список деталей'!E76))</f>
        <v>0</v>
      </c>
      <c r="C67" t="str">
        <f>IF(ISBLANK('Список деталей'!K76)," • ",SUBSTITUTE('Список деталей'!K76," ","•"))</f>
        <v xml:space="preserve"> • </v>
      </c>
    </row>
    <row r="68" spans="1:3" x14ac:dyDescent="0.45">
      <c r="A68" s="13" t="str">
        <f>IF(B68,CONCATENATE('Список деталей'!C77," ",'Список деталей'!D77," ",'Список деталей'!E77," ",C68," No•Material "," ",'Список деталей'!U77," 2 ",'Список деталей'!M77," ",'Список деталей'!N77," ",'Список деталей'!O77," ",'Список деталей'!P77," ",'Список деталей'!Q77," ",'Список деталей'!R77," ",'Список деталей'!S77," ",'Список деталей'!T77), "не данных")</f>
        <v>не данных</v>
      </c>
      <c r="B68" s="6" t="b">
        <f>AND(ISNUMBER('Список деталей'!C77),ISNUMBER('Список деталей'!D77),ISNUMBER('Список деталей'!E77))</f>
        <v>0</v>
      </c>
      <c r="C68" t="str">
        <f>IF(ISBLANK('Список деталей'!K77)," • ",SUBSTITUTE('Список деталей'!K77," ","•"))</f>
        <v xml:space="preserve"> • </v>
      </c>
    </row>
    <row r="69" spans="1:3" x14ac:dyDescent="0.45">
      <c r="A69" s="13" t="str">
        <f>IF(B69,CONCATENATE('Список деталей'!C78," ",'Список деталей'!D78," ",'Список деталей'!E78," ",C69," No•Material "," ",'Список деталей'!U78," 2 ",'Список деталей'!M78," ",'Список деталей'!N78," ",'Список деталей'!O78," ",'Список деталей'!P78," ",'Список деталей'!Q78," ",'Список деталей'!R78," ",'Список деталей'!S78," ",'Список деталей'!T78), "не данных")</f>
        <v>не данных</v>
      </c>
      <c r="B69" s="6" t="b">
        <f>AND(ISNUMBER('Список деталей'!C78),ISNUMBER('Список деталей'!D78),ISNUMBER('Список деталей'!E78))</f>
        <v>0</v>
      </c>
      <c r="C69" t="str">
        <f>IF(ISBLANK('Список деталей'!K78)," • ",SUBSTITUTE('Список деталей'!K78," ","•"))</f>
        <v xml:space="preserve"> • </v>
      </c>
    </row>
    <row r="70" spans="1:3" x14ac:dyDescent="0.45">
      <c r="A70" s="13" t="str">
        <f>IF(B70,CONCATENATE('Список деталей'!C79," ",'Список деталей'!D79," ",'Список деталей'!E79," ",C70," No•Material "," ",'Список деталей'!U79," 2 ",'Список деталей'!M79," ",'Список деталей'!N79," ",'Список деталей'!O79," ",'Список деталей'!P79," ",'Список деталей'!Q79," ",'Список деталей'!R79," ",'Список деталей'!S79," ",'Список деталей'!T79), "не данных")</f>
        <v>не данных</v>
      </c>
      <c r="B70" s="6" t="b">
        <f>AND(ISNUMBER('Список деталей'!C79),ISNUMBER('Список деталей'!D79),ISNUMBER('Список деталей'!E79))</f>
        <v>0</v>
      </c>
      <c r="C70" t="str">
        <f>IF(ISBLANK('Список деталей'!K79)," • ",SUBSTITUTE('Список деталей'!K79," ","•"))</f>
        <v xml:space="preserve"> • </v>
      </c>
    </row>
    <row r="71" spans="1:3" x14ac:dyDescent="0.45">
      <c r="A71" s="13" t="str">
        <f>IF(B71,CONCATENATE('Список деталей'!C80," ",'Список деталей'!D80," ",'Список деталей'!E80," ",C71," No•Material "," ",'Список деталей'!U80," 2 ",'Список деталей'!M80," ",'Список деталей'!N80," ",'Список деталей'!O80," ",'Список деталей'!P80," ",'Список деталей'!Q80," ",'Список деталей'!R80," ",'Список деталей'!S80," ",'Список деталей'!T80), "не данных")</f>
        <v>не данных</v>
      </c>
      <c r="B71" s="6" t="b">
        <f>AND(ISNUMBER('Список деталей'!C80),ISNUMBER('Список деталей'!D80),ISNUMBER('Список деталей'!E80))</f>
        <v>0</v>
      </c>
      <c r="C71" t="str">
        <f>IF(ISBLANK('Список деталей'!K80)," • ",SUBSTITUTE('Список деталей'!K80," ","•"))</f>
        <v xml:space="preserve"> • </v>
      </c>
    </row>
    <row r="72" spans="1:3" x14ac:dyDescent="0.45">
      <c r="A72" s="13" t="str">
        <f>IF(B72,CONCATENATE('Список деталей'!C81," ",'Список деталей'!D81," ",'Список деталей'!E81," ",C72," No•Material "," ",'Список деталей'!U81," 2 ",'Список деталей'!M81," ",'Список деталей'!N81," ",'Список деталей'!O81," ",'Список деталей'!P81," ",'Список деталей'!Q81," ",'Список деталей'!R81," ",'Список деталей'!S81," ",'Список деталей'!T81), "не данных")</f>
        <v>не данных</v>
      </c>
      <c r="B72" s="6" t="b">
        <f>AND(ISNUMBER('Список деталей'!C81),ISNUMBER('Список деталей'!D81),ISNUMBER('Список деталей'!E81))</f>
        <v>0</v>
      </c>
      <c r="C72" t="str">
        <f>IF(ISBLANK('Список деталей'!K81)," • ",SUBSTITUTE('Список деталей'!K81," ","•"))</f>
        <v xml:space="preserve"> • </v>
      </c>
    </row>
    <row r="73" spans="1:3" x14ac:dyDescent="0.45">
      <c r="A73" s="13" t="str">
        <f>IF(B73,CONCATENATE('Список деталей'!C82," ",'Список деталей'!D82," ",'Список деталей'!E82," ",C73," No•Material "," ",'Список деталей'!U82," 2 ",'Список деталей'!M82," ",'Список деталей'!N82," ",'Список деталей'!O82," ",'Список деталей'!P82," ",'Список деталей'!Q82," ",'Список деталей'!R82," ",'Список деталей'!S82," ",'Список деталей'!T82), "не данных")</f>
        <v>не данных</v>
      </c>
      <c r="B73" s="6" t="b">
        <f>AND(ISNUMBER('Список деталей'!C82),ISNUMBER('Список деталей'!D82),ISNUMBER('Список деталей'!E82))</f>
        <v>0</v>
      </c>
      <c r="C73" t="str">
        <f>IF(ISBLANK('Список деталей'!K82)," • ",SUBSTITUTE('Список деталей'!K82," ","•"))</f>
        <v xml:space="preserve"> • </v>
      </c>
    </row>
    <row r="74" spans="1:3" x14ac:dyDescent="0.45">
      <c r="A74" s="13" t="str">
        <f>IF(B74,CONCATENATE('Список деталей'!C83," ",'Список деталей'!D83," ",'Список деталей'!E83," ",C74," No•Material "," ",'Список деталей'!U83," 2 ",'Список деталей'!M83," ",'Список деталей'!N83," ",'Список деталей'!O83," ",'Список деталей'!P83," ",'Список деталей'!Q83," ",'Список деталей'!R83," ",'Список деталей'!S83," ",'Список деталей'!T83), "не данных")</f>
        <v>не данных</v>
      </c>
      <c r="B74" s="6" t="b">
        <f>AND(ISNUMBER('Список деталей'!C83),ISNUMBER('Список деталей'!D83),ISNUMBER('Список деталей'!E83))</f>
        <v>0</v>
      </c>
      <c r="C74" t="str">
        <f>IF(ISBLANK('Список деталей'!K83)," • ",SUBSTITUTE('Список деталей'!K83," ","•"))</f>
        <v xml:space="preserve"> • </v>
      </c>
    </row>
    <row r="75" spans="1:3" x14ac:dyDescent="0.45">
      <c r="A75" s="13" t="str">
        <f>IF(B75,CONCATENATE('Список деталей'!C84," ",'Список деталей'!D84," ",'Список деталей'!E84," ",C75," No•Material "," ",'Список деталей'!U84," 2 ",'Список деталей'!M84," ",'Список деталей'!N84," ",'Список деталей'!O84," ",'Список деталей'!P84," ",'Список деталей'!Q84," ",'Список деталей'!R84," ",'Список деталей'!S84," ",'Список деталей'!T84), "не данных")</f>
        <v>не данных</v>
      </c>
      <c r="B75" s="6" t="b">
        <f>AND(ISNUMBER('Список деталей'!C84),ISNUMBER('Список деталей'!D84),ISNUMBER('Список деталей'!E84))</f>
        <v>0</v>
      </c>
      <c r="C75" t="str">
        <f>IF(ISBLANK('Список деталей'!K84)," • ",SUBSTITUTE('Список деталей'!K84," ","•"))</f>
        <v xml:space="preserve"> • </v>
      </c>
    </row>
    <row r="76" spans="1:3" x14ac:dyDescent="0.45">
      <c r="A76" s="13" t="str">
        <f>IF(B76,CONCATENATE('Список деталей'!C85," ",'Список деталей'!D85," ",'Список деталей'!E85," ",C76," No•Material "," ",'Список деталей'!U85," 2 ",'Список деталей'!M85," ",'Список деталей'!N85," ",'Список деталей'!O85," ",'Список деталей'!P85," ",'Список деталей'!Q85," ",'Список деталей'!R85," ",'Список деталей'!S85," ",'Список деталей'!T85), "не данных")</f>
        <v>не данных</v>
      </c>
      <c r="B76" s="6" t="b">
        <f>AND(ISNUMBER('Список деталей'!C85),ISNUMBER('Список деталей'!D85),ISNUMBER('Список деталей'!E85))</f>
        <v>0</v>
      </c>
      <c r="C76" t="str">
        <f>IF(ISBLANK('Список деталей'!K85)," • ",SUBSTITUTE('Список деталей'!K85," ","•"))</f>
        <v xml:space="preserve"> • </v>
      </c>
    </row>
    <row r="77" spans="1:3" x14ac:dyDescent="0.45">
      <c r="A77" s="13" t="str">
        <f>IF(B77,CONCATENATE('Список деталей'!C86," ",'Список деталей'!D86," ",'Список деталей'!E86," ",C77," No•Material "," ",'Список деталей'!U86," 2 ",'Список деталей'!M86," ",'Список деталей'!N86," ",'Список деталей'!O86," ",'Список деталей'!P86," ",'Список деталей'!Q86," ",'Список деталей'!R86," ",'Список деталей'!S86," ",'Список деталей'!T86), "не данных")</f>
        <v>не данных</v>
      </c>
      <c r="B77" s="6" t="b">
        <f>AND(ISNUMBER('Список деталей'!C86),ISNUMBER('Список деталей'!D86),ISNUMBER('Список деталей'!E86))</f>
        <v>0</v>
      </c>
      <c r="C77" t="str">
        <f>IF(ISBLANK('Список деталей'!K86)," • ",SUBSTITUTE('Список деталей'!K86," ","•"))</f>
        <v xml:space="preserve"> • </v>
      </c>
    </row>
    <row r="78" spans="1:3" x14ac:dyDescent="0.45">
      <c r="A78" s="13" t="str">
        <f>IF(B78,CONCATENATE('Список деталей'!C87," ",'Список деталей'!D87," ",'Список деталей'!E87," ",C78," No•Material "," ",'Список деталей'!U87," 2 ",'Список деталей'!M87," ",'Список деталей'!N87," ",'Список деталей'!O87," ",'Список деталей'!P87," ",'Список деталей'!Q87," ",'Список деталей'!R87," ",'Список деталей'!S87," ",'Список деталей'!T87), "не данных")</f>
        <v>не данных</v>
      </c>
      <c r="B78" s="6" t="b">
        <f>AND(ISNUMBER('Список деталей'!C87),ISNUMBER('Список деталей'!D87),ISNUMBER('Список деталей'!E87))</f>
        <v>0</v>
      </c>
      <c r="C78" t="str">
        <f>IF(ISBLANK('Список деталей'!K87)," • ",SUBSTITUTE('Список деталей'!K87," ","•"))</f>
        <v xml:space="preserve"> • </v>
      </c>
    </row>
    <row r="79" spans="1:3" x14ac:dyDescent="0.45">
      <c r="A79" s="13" t="str">
        <f>IF(B79,CONCATENATE('Список деталей'!C88," ",'Список деталей'!D88," ",'Список деталей'!E88," ",C79," No•Material "," ",'Список деталей'!U88," 2 ",'Список деталей'!M88," ",'Список деталей'!N88," ",'Список деталей'!O88," ",'Список деталей'!P88," ",'Список деталей'!Q88," ",'Список деталей'!R88," ",'Список деталей'!S88," ",'Список деталей'!T88), "не данных")</f>
        <v>не данных</v>
      </c>
      <c r="B79" s="6" t="b">
        <f>AND(ISNUMBER('Список деталей'!C88),ISNUMBER('Список деталей'!D88),ISNUMBER('Список деталей'!E88))</f>
        <v>0</v>
      </c>
      <c r="C79" t="str">
        <f>IF(ISBLANK('Список деталей'!K88)," • ",SUBSTITUTE('Список деталей'!K88," ","•"))</f>
        <v xml:space="preserve"> • </v>
      </c>
    </row>
    <row r="80" spans="1:3" x14ac:dyDescent="0.45">
      <c r="A80" s="13" t="str">
        <f>IF(B80,CONCATENATE('Список деталей'!C89," ",'Список деталей'!D89," ",'Список деталей'!E89," ",C80," No•Material "," ",'Список деталей'!U89," 2 ",'Список деталей'!M89," ",'Список деталей'!N89," ",'Список деталей'!O89," ",'Список деталей'!P89," ",'Список деталей'!Q89," ",'Список деталей'!R89," ",'Список деталей'!S89," ",'Список деталей'!T89), "не данных")</f>
        <v>не данных</v>
      </c>
      <c r="B80" s="6" t="b">
        <f>AND(ISNUMBER('Список деталей'!C89),ISNUMBER('Список деталей'!D89),ISNUMBER('Список деталей'!E89))</f>
        <v>0</v>
      </c>
      <c r="C80" t="str">
        <f>IF(ISBLANK('Список деталей'!K89)," • ",SUBSTITUTE('Список деталей'!K89," ","•"))</f>
        <v xml:space="preserve"> • </v>
      </c>
    </row>
    <row r="81" spans="1:3" x14ac:dyDescent="0.45">
      <c r="A81" s="13" t="str">
        <f>IF(B81,CONCATENATE('Список деталей'!C90," ",'Список деталей'!D90," ",'Список деталей'!E90," ",C81," No•Material "," ",'Список деталей'!U90," 2 ",'Список деталей'!M90," ",'Список деталей'!N90," ",'Список деталей'!O90," ",'Список деталей'!P90," ",'Список деталей'!Q90," ",'Список деталей'!R90," ",'Список деталей'!S90," ",'Список деталей'!T90), "не данных")</f>
        <v>не данных</v>
      </c>
      <c r="B81" s="6" t="b">
        <f>AND(ISNUMBER('Список деталей'!C90),ISNUMBER('Список деталей'!D90),ISNUMBER('Список деталей'!E90))</f>
        <v>0</v>
      </c>
      <c r="C81" t="str">
        <f>IF(ISBLANK('Список деталей'!K90)," • ",SUBSTITUTE('Список деталей'!K90," ","•"))</f>
        <v xml:space="preserve"> • </v>
      </c>
    </row>
    <row r="82" spans="1:3" x14ac:dyDescent="0.45">
      <c r="A82" s="13" t="str">
        <f>IF(B82,CONCATENATE('Список деталей'!C91," ",'Список деталей'!D91," ",'Список деталей'!E91," ",C82," No•Material "," ",'Список деталей'!U91," 2 ",'Список деталей'!M91," ",'Список деталей'!N91," ",'Список деталей'!O91," ",'Список деталей'!P91," ",'Список деталей'!Q91," ",'Список деталей'!R91," ",'Список деталей'!S91," ",'Список деталей'!T91), "не данных")</f>
        <v>не данных</v>
      </c>
      <c r="B82" s="6" t="b">
        <f>AND(ISNUMBER('Список деталей'!C91),ISNUMBER('Список деталей'!D91),ISNUMBER('Список деталей'!E91))</f>
        <v>0</v>
      </c>
      <c r="C82" t="str">
        <f>IF(ISBLANK('Список деталей'!K91)," • ",SUBSTITUTE('Список деталей'!K91," ","•"))</f>
        <v xml:space="preserve"> • </v>
      </c>
    </row>
    <row r="83" spans="1:3" x14ac:dyDescent="0.45">
      <c r="A83" s="13" t="str">
        <f>IF(B83,CONCATENATE('Список деталей'!C92," ",'Список деталей'!D92," ",'Список деталей'!E92," ",C83," No•Material "," ",'Список деталей'!U92," 2 ",'Список деталей'!M92," ",'Список деталей'!N92," ",'Список деталей'!O92," ",'Список деталей'!P92," ",'Список деталей'!Q92," ",'Список деталей'!R92," ",'Список деталей'!S92," ",'Список деталей'!T92), "не данных")</f>
        <v>не данных</v>
      </c>
      <c r="B83" s="6" t="b">
        <f>AND(ISNUMBER('Список деталей'!C92),ISNUMBER('Список деталей'!D92),ISNUMBER('Список деталей'!E92))</f>
        <v>0</v>
      </c>
      <c r="C83" t="str">
        <f>IF(ISBLANK('Список деталей'!K92)," • ",SUBSTITUTE('Список деталей'!K92," ","•"))</f>
        <v xml:space="preserve"> • </v>
      </c>
    </row>
    <row r="84" spans="1:3" x14ac:dyDescent="0.45">
      <c r="A84" s="13" t="str">
        <f>IF(B84,CONCATENATE('Список деталей'!C93," ",'Список деталей'!D93," ",'Список деталей'!E93," ",C84," No•Material "," ",'Список деталей'!U93," 2 ",'Список деталей'!M93," ",'Список деталей'!N93," ",'Список деталей'!O93," ",'Список деталей'!P93," ",'Список деталей'!Q93," ",'Список деталей'!R93," ",'Список деталей'!S93," ",'Список деталей'!T93), "не данных")</f>
        <v>не данных</v>
      </c>
      <c r="B84" s="6" t="b">
        <f>AND(ISNUMBER('Список деталей'!C93),ISNUMBER('Список деталей'!D93),ISNUMBER('Список деталей'!E93))</f>
        <v>0</v>
      </c>
      <c r="C84" t="str">
        <f>IF(ISBLANK('Список деталей'!K93)," • ",SUBSTITUTE('Список деталей'!K93," ","•"))</f>
        <v xml:space="preserve"> • </v>
      </c>
    </row>
    <row r="85" spans="1:3" x14ac:dyDescent="0.45">
      <c r="A85" s="13" t="str">
        <f>IF(B85,CONCATENATE('Список деталей'!C94," ",'Список деталей'!D94," ",'Список деталей'!E94," ",C85," No•Material "," ",'Список деталей'!U94," 2 ",'Список деталей'!M94," ",'Список деталей'!N94," ",'Список деталей'!O94," ",'Список деталей'!P94," ",'Список деталей'!Q94," ",'Список деталей'!R94," ",'Список деталей'!S94," ",'Список деталей'!T94), "не данных")</f>
        <v>не данных</v>
      </c>
      <c r="B85" s="6" t="b">
        <f>AND(ISNUMBER('Список деталей'!C94),ISNUMBER('Список деталей'!D94),ISNUMBER('Список деталей'!E94))</f>
        <v>0</v>
      </c>
      <c r="C85" t="str">
        <f>IF(ISBLANK('Список деталей'!K94)," • ",SUBSTITUTE('Список деталей'!K94," ","•"))</f>
        <v xml:space="preserve"> • </v>
      </c>
    </row>
    <row r="86" spans="1:3" x14ac:dyDescent="0.45">
      <c r="A86" s="13" t="str">
        <f>IF(B86,CONCATENATE('Список деталей'!C95," ",'Список деталей'!D95," ",'Список деталей'!E95," ",C86," No•Material "," ",'Список деталей'!U95," 2 ",'Список деталей'!M95," ",'Список деталей'!N95," ",'Список деталей'!O95," ",'Список деталей'!P95," ",'Список деталей'!Q95," ",'Список деталей'!R95," ",'Список деталей'!S95," ",'Список деталей'!T95), "не данных")</f>
        <v>не данных</v>
      </c>
      <c r="B86" s="6" t="b">
        <f>AND(ISNUMBER('Список деталей'!C95),ISNUMBER('Список деталей'!D95),ISNUMBER('Список деталей'!E95))</f>
        <v>0</v>
      </c>
      <c r="C86" t="str">
        <f>IF(ISBLANK('Список деталей'!K95)," • ",SUBSTITUTE('Список деталей'!K95," ","•"))</f>
        <v xml:space="preserve"> • </v>
      </c>
    </row>
    <row r="87" spans="1:3" x14ac:dyDescent="0.45">
      <c r="A87" s="13" t="str">
        <f>IF(B87,CONCATENATE('Список деталей'!C96," ",'Список деталей'!D96," ",'Список деталей'!E96," ",C87," No•Material "," ",'Список деталей'!U96," 2 ",'Список деталей'!M96," ",'Список деталей'!N96," ",'Список деталей'!O96," ",'Список деталей'!P96," ",'Список деталей'!Q96," ",'Список деталей'!R96," ",'Список деталей'!S96," ",'Список деталей'!T96), "не данных")</f>
        <v>не данных</v>
      </c>
      <c r="B87" s="6" t="b">
        <f>AND(ISNUMBER('Список деталей'!C96),ISNUMBER('Список деталей'!D96),ISNUMBER('Список деталей'!E96))</f>
        <v>0</v>
      </c>
      <c r="C87" t="str">
        <f>IF(ISBLANK('Список деталей'!K96)," • ",SUBSTITUTE('Список деталей'!K96," ","•"))</f>
        <v xml:space="preserve"> • </v>
      </c>
    </row>
    <row r="88" spans="1:3" x14ac:dyDescent="0.45">
      <c r="A88" s="13" t="str">
        <f>IF(B88,CONCATENATE('Список деталей'!C97," ",'Список деталей'!D97," ",'Список деталей'!E97," ",C88," No•Material "," ",'Список деталей'!U97," 2 ",'Список деталей'!M97," ",'Список деталей'!N97," ",'Список деталей'!O97," ",'Список деталей'!P97," ",'Список деталей'!Q97," ",'Список деталей'!R97," ",'Список деталей'!S97," ",'Список деталей'!T97), "не данных")</f>
        <v>не данных</v>
      </c>
      <c r="B88" s="6" t="b">
        <f>AND(ISNUMBER('Список деталей'!C97),ISNUMBER('Список деталей'!D97),ISNUMBER('Список деталей'!E97))</f>
        <v>0</v>
      </c>
      <c r="C88" t="str">
        <f>IF(ISBLANK('Список деталей'!K97)," • ",SUBSTITUTE('Список деталей'!K97," ","•"))</f>
        <v xml:space="preserve"> • </v>
      </c>
    </row>
    <row r="89" spans="1:3" x14ac:dyDescent="0.45">
      <c r="A89" s="13" t="str">
        <f>IF(B89,CONCATENATE('Список деталей'!C98," ",'Список деталей'!D98," ",'Список деталей'!E98," ",C89," No•Material "," ",'Список деталей'!U98," 2 ",'Список деталей'!M98," ",'Список деталей'!N98," ",'Список деталей'!O98," ",'Список деталей'!P98," ",'Список деталей'!Q98," ",'Список деталей'!R98," ",'Список деталей'!S98," ",'Список деталей'!T98), "не данных")</f>
        <v>не данных</v>
      </c>
      <c r="B89" s="6" t="b">
        <f>AND(ISNUMBER('Список деталей'!C98),ISNUMBER('Список деталей'!D98),ISNUMBER('Список деталей'!E98))</f>
        <v>0</v>
      </c>
      <c r="C89" t="str">
        <f>IF(ISBLANK('Список деталей'!K98)," • ",SUBSTITUTE('Список деталей'!K98," ","•"))</f>
        <v xml:space="preserve"> • </v>
      </c>
    </row>
    <row r="90" spans="1:3" x14ac:dyDescent="0.45">
      <c r="A90" s="13" t="str">
        <f>IF(B90,CONCATENATE('Список деталей'!C99," ",'Список деталей'!D99," ",'Список деталей'!E99," ",C90," No•Material "," ",'Список деталей'!U99," 2 ",'Список деталей'!M99," ",'Список деталей'!N99," ",'Список деталей'!O99," ",'Список деталей'!P99," ",'Список деталей'!Q99," ",'Список деталей'!R99," ",'Список деталей'!S99," ",'Список деталей'!T99), "не данных")</f>
        <v>не данных</v>
      </c>
      <c r="B90" s="6" t="b">
        <f>AND(ISNUMBER('Список деталей'!C99),ISNUMBER('Список деталей'!D99),ISNUMBER('Список деталей'!E99))</f>
        <v>0</v>
      </c>
      <c r="C90" t="str">
        <f>IF(ISBLANK('Список деталей'!K99)," • ",SUBSTITUTE('Список деталей'!K99," ","•"))</f>
        <v xml:space="preserve"> • </v>
      </c>
    </row>
    <row r="91" spans="1:3" x14ac:dyDescent="0.45">
      <c r="A91" s="13" t="str">
        <f>IF(B91,CONCATENATE('Список деталей'!C100," ",'Список деталей'!D100," ",'Список деталей'!E100," ",C91," No•Material "," ",'Список деталей'!U100," 2 ",'Список деталей'!M100," ",'Список деталей'!N100," ",'Список деталей'!O100," ",'Список деталей'!P100," ",'Список деталей'!Q100," ",'Список деталей'!R100," ",'Список деталей'!S100," ",'Список деталей'!T100), "не данных")</f>
        <v>не данных</v>
      </c>
      <c r="B91" s="6" t="b">
        <f>AND(ISNUMBER('Список деталей'!C100),ISNUMBER('Список деталей'!D100),ISNUMBER('Список деталей'!E100))</f>
        <v>0</v>
      </c>
      <c r="C91" t="str">
        <f>IF(ISBLANK('Список деталей'!K100)," • ",SUBSTITUTE('Список деталей'!K100," ","•"))</f>
        <v xml:space="preserve"> • </v>
      </c>
    </row>
    <row r="92" spans="1:3" x14ac:dyDescent="0.45">
      <c r="A92" s="13" t="str">
        <f>IF(B92,CONCATENATE('Список деталей'!C101," ",'Список деталей'!D101," ",'Список деталей'!E101," ",C92," No•Material "," ",'Список деталей'!U101," 2 ",'Список деталей'!M101," ",'Список деталей'!N101," ",'Список деталей'!O101," ",'Список деталей'!P101," ",'Список деталей'!Q101," ",'Список деталей'!R101," ",'Список деталей'!S101," ",'Список деталей'!T101), "не данных")</f>
        <v>не данных</v>
      </c>
      <c r="B92" s="6" t="b">
        <f>AND(ISNUMBER('Список деталей'!C101),ISNUMBER('Список деталей'!D101),ISNUMBER('Список деталей'!E101))</f>
        <v>0</v>
      </c>
      <c r="C92" t="str">
        <f>IF(ISBLANK('Список деталей'!K101)," • ",SUBSTITUTE('Список деталей'!K101," ","•"))</f>
        <v xml:space="preserve"> • </v>
      </c>
    </row>
    <row r="93" spans="1:3" x14ac:dyDescent="0.45">
      <c r="A93" s="13" t="str">
        <f>IF(B93,CONCATENATE('Список деталей'!C102," ",'Список деталей'!D102," ",'Список деталей'!E102," ",C93," No•Material "," ",'Список деталей'!U102," 2 ",'Список деталей'!M102," ",'Список деталей'!N102," ",'Список деталей'!O102," ",'Список деталей'!P102," ",'Список деталей'!Q102," ",'Список деталей'!R102," ",'Список деталей'!S102," ",'Список деталей'!T102), "не данных")</f>
        <v>не данных</v>
      </c>
      <c r="B93" s="6" t="b">
        <f>AND(ISNUMBER('Список деталей'!C102),ISNUMBER('Список деталей'!D102),ISNUMBER('Список деталей'!E102))</f>
        <v>0</v>
      </c>
      <c r="C93" t="str">
        <f>IF(ISBLANK('Список деталей'!K102)," • ",SUBSTITUTE('Список деталей'!K102," ","•"))</f>
        <v xml:space="preserve"> • </v>
      </c>
    </row>
    <row r="94" spans="1:3" x14ac:dyDescent="0.45">
      <c r="A94" s="13" t="str">
        <f>IF(B94,CONCATENATE('Список деталей'!C103," ",'Список деталей'!D103," ",'Список деталей'!E103," ",C94," No•Material "," ",'Список деталей'!U103," 2 ",'Список деталей'!M103," ",'Список деталей'!N103," ",'Список деталей'!O103," ",'Список деталей'!P103," ",'Список деталей'!Q103," ",'Список деталей'!R103," ",'Список деталей'!S103," ",'Список деталей'!T103), "не данных")</f>
        <v>не данных</v>
      </c>
      <c r="B94" s="6" t="b">
        <f>AND(ISNUMBER('Список деталей'!C103),ISNUMBER('Список деталей'!D103),ISNUMBER('Список деталей'!E103))</f>
        <v>0</v>
      </c>
      <c r="C94" t="str">
        <f>IF(ISBLANK('Список деталей'!K103)," • ",SUBSTITUTE('Список деталей'!K103," ","•"))</f>
        <v xml:space="preserve"> • </v>
      </c>
    </row>
    <row r="95" spans="1:3" x14ac:dyDescent="0.45">
      <c r="A95" s="13" t="str">
        <f>IF(B95,CONCATENATE('Список деталей'!C104," ",'Список деталей'!D104," ",'Список деталей'!E104," ",C95," No•Material "," ",'Список деталей'!U104," 2 ",'Список деталей'!M104," ",'Список деталей'!N104," ",'Список деталей'!O104," ",'Список деталей'!P104," ",'Список деталей'!Q104," ",'Список деталей'!R104," ",'Список деталей'!S104," ",'Список деталей'!T104), "не данных")</f>
        <v>не данных</v>
      </c>
      <c r="B95" s="6" t="b">
        <f>AND(ISNUMBER('Список деталей'!C104),ISNUMBER('Список деталей'!D104),ISNUMBER('Список деталей'!E104))</f>
        <v>0</v>
      </c>
      <c r="C95" t="str">
        <f>IF(ISBLANK('Список деталей'!K104)," • ",SUBSTITUTE('Список деталей'!K104," ","•"))</f>
        <v xml:space="preserve"> • </v>
      </c>
    </row>
    <row r="96" spans="1:3" x14ac:dyDescent="0.45">
      <c r="A96" s="13" t="str">
        <f>IF(B96,CONCATENATE('Список деталей'!C105," ",'Список деталей'!D105," ",'Список деталей'!E105," ",C96," No•Material "," ",'Список деталей'!U105," 2 ",'Список деталей'!M105," ",'Список деталей'!N105," ",'Список деталей'!O105," ",'Список деталей'!P105," ",'Список деталей'!Q105," ",'Список деталей'!R105," ",'Список деталей'!S105," ",'Список деталей'!T105), "не данных")</f>
        <v>не данных</v>
      </c>
      <c r="B96" s="6" t="b">
        <f>AND(ISNUMBER('Список деталей'!C105),ISNUMBER('Список деталей'!D105),ISNUMBER('Список деталей'!E105))</f>
        <v>0</v>
      </c>
      <c r="C96" t="str">
        <f>IF(ISBLANK('Список деталей'!K105)," • ",SUBSTITUTE('Список деталей'!K105," ","•"))</f>
        <v xml:space="preserve"> • </v>
      </c>
    </row>
    <row r="97" spans="1:3" x14ac:dyDescent="0.45">
      <c r="A97" s="13" t="str">
        <f>IF(B97,CONCATENATE('Список деталей'!C106," ",'Список деталей'!D106," ",'Список деталей'!E106," ",C97," No•Material "," ",'Список деталей'!U106," 2 ",'Список деталей'!M106," ",'Список деталей'!N106," ",'Список деталей'!O106," ",'Список деталей'!P106," ",'Список деталей'!Q106," ",'Список деталей'!R106," ",'Список деталей'!S106," ",'Список деталей'!T106), "не данных")</f>
        <v>не данных</v>
      </c>
      <c r="B97" s="6" t="b">
        <f>AND(ISNUMBER('Список деталей'!C106),ISNUMBER('Список деталей'!D106),ISNUMBER('Список деталей'!E106))</f>
        <v>0</v>
      </c>
      <c r="C97" t="str">
        <f>IF(ISBLANK('Список деталей'!K106)," • ",SUBSTITUTE('Список деталей'!K106," ","•"))</f>
        <v xml:space="preserve"> • </v>
      </c>
    </row>
    <row r="98" spans="1:3" x14ac:dyDescent="0.45">
      <c r="A98" s="13" t="str">
        <f>IF(B98,CONCATENATE('Список деталей'!C107," ",'Список деталей'!D107," ",'Список деталей'!E107," ",C98," No•Material "," ",'Список деталей'!U107," 2 ",'Список деталей'!M107," ",'Список деталей'!N107," ",'Список деталей'!O107," ",'Список деталей'!P107," ",'Список деталей'!Q107," ",'Список деталей'!R107," ",'Список деталей'!S107," ",'Список деталей'!T107), "не данных")</f>
        <v>не данных</v>
      </c>
      <c r="B98" s="6" t="b">
        <f>AND(ISNUMBER('Список деталей'!C107),ISNUMBER('Список деталей'!D107),ISNUMBER('Список деталей'!E107))</f>
        <v>0</v>
      </c>
      <c r="C98" t="str">
        <f>IF(ISBLANK('Список деталей'!K107)," • ",SUBSTITUTE('Список деталей'!K107," ","•"))</f>
        <v xml:space="preserve"> • </v>
      </c>
    </row>
    <row r="99" spans="1:3" x14ac:dyDescent="0.45">
      <c r="A99" s="13" t="str">
        <f>IF(B99,CONCATENATE('Список деталей'!C108," ",'Список деталей'!D108," ",'Список деталей'!E108," ",C99," No•Material "," ",'Список деталей'!U108," 2 ",'Список деталей'!M108," ",'Список деталей'!N108," ",'Список деталей'!O108," ",'Список деталей'!P108," ",'Список деталей'!Q108," ",'Список деталей'!R108," ",'Список деталей'!S108," ",'Список деталей'!T108), "не данных")</f>
        <v>не данных</v>
      </c>
      <c r="B99" s="6" t="b">
        <f>AND(ISNUMBER('Список деталей'!C108),ISNUMBER('Список деталей'!D108),ISNUMBER('Список деталей'!E108))</f>
        <v>0</v>
      </c>
      <c r="C99" t="str">
        <f>IF(ISBLANK('Список деталей'!K108)," • ",SUBSTITUTE('Список деталей'!K108," ","•"))</f>
        <v xml:space="preserve"> • </v>
      </c>
    </row>
  </sheetData>
  <sheetProtection algorithmName="SHA-512" hashValue="jOgd0AMfqK202PsRJ2leCjaT4QnZVoAJ3NjeYFMqASdJUV17DvPrMdBTE14yVu7XE2f+ponSkVGiGVwsOz+VbA==" saltValue="meWxSF1fL+axkceQYAwW/g==" spinCount="100000" sheet="1" objects="1" scenarios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/>
  <dimension ref="A1:O19"/>
  <sheetViews>
    <sheetView workbookViewId="0">
      <selection activeCell="B19" sqref="B19"/>
    </sheetView>
  </sheetViews>
  <sheetFormatPr defaultColWidth="10" defaultRowHeight="14.25" x14ac:dyDescent="0.45"/>
  <cols>
    <col min="1" max="1" width="8.265625" customWidth="1"/>
    <col min="4" max="4" width="14.3984375" bestFit="1" customWidth="1"/>
    <col min="5" max="5" width="12" customWidth="1"/>
    <col min="6" max="6" width="30.265625" bestFit="1" customWidth="1"/>
    <col min="7" max="7" width="26.1328125" bestFit="1" customWidth="1"/>
    <col min="8" max="8" width="17.73046875" bestFit="1" customWidth="1"/>
    <col min="9" max="15" width="3.73046875" bestFit="1" customWidth="1"/>
  </cols>
  <sheetData>
    <row r="1" spans="1:15" x14ac:dyDescent="0.45">
      <c r="A1" t="s">
        <v>0</v>
      </c>
    </row>
    <row r="2" spans="1:15" x14ac:dyDescent="0.45">
      <c r="A2" t="s">
        <v>1</v>
      </c>
    </row>
    <row r="3" spans="1:15" x14ac:dyDescent="0.45">
      <c r="A3" t="s">
        <v>2</v>
      </c>
    </row>
    <row r="4" spans="1:15" x14ac:dyDescent="0.45">
      <c r="A4" t="s">
        <v>41</v>
      </c>
    </row>
    <row r="5" spans="1:15" x14ac:dyDescent="0.45">
      <c r="A5" t="s">
        <v>40</v>
      </c>
    </row>
    <row r="6" spans="1:15" ht="96" x14ac:dyDescent="0.4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27</v>
      </c>
      <c r="M6" s="1" t="s">
        <v>28</v>
      </c>
      <c r="N6" s="1" t="s">
        <v>29</v>
      </c>
      <c r="O6" s="1" t="s">
        <v>30</v>
      </c>
    </row>
    <row r="7" spans="1:15" x14ac:dyDescent="0.45">
      <c r="A7">
        <v>2710</v>
      </c>
      <c r="B7">
        <v>510</v>
      </c>
      <c r="C7">
        <v>1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L7">
        <v>1</v>
      </c>
      <c r="M7">
        <v>0</v>
      </c>
      <c r="N7">
        <v>1</v>
      </c>
      <c r="O7">
        <v>0</v>
      </c>
    </row>
    <row r="8" spans="1:15" x14ac:dyDescent="0.45">
      <c r="F8" t="s">
        <v>19</v>
      </c>
      <c r="G8" t="s">
        <v>20</v>
      </c>
      <c r="H8" t="s">
        <v>21</v>
      </c>
    </row>
    <row r="9" spans="1:15" x14ac:dyDescent="0.45">
      <c r="F9" t="s">
        <v>22</v>
      </c>
      <c r="G9" t="s">
        <v>23</v>
      </c>
      <c r="H9" t="s">
        <v>24</v>
      </c>
    </row>
    <row r="10" spans="1:15" x14ac:dyDescent="0.45">
      <c r="F10" t="s">
        <v>25</v>
      </c>
      <c r="H10" t="s">
        <v>26</v>
      </c>
    </row>
    <row r="15" spans="1:15" x14ac:dyDescent="0.45">
      <c r="A15" t="s">
        <v>48</v>
      </c>
    </row>
    <row r="16" spans="1:15" x14ac:dyDescent="0.45">
      <c r="F16" t="s">
        <v>49</v>
      </c>
      <c r="G16" t="str">
        <f>SUBSTITUTE(F16," ","•")</f>
        <v>косорез•по•150</v>
      </c>
    </row>
    <row r="19" spans="2:3" x14ac:dyDescent="0.45">
      <c r="B19" t="str">
        <f>IF(ISBLANK(A19),"да","нет")</f>
        <v>да</v>
      </c>
      <c r="C19">
        <f>IFERROR(A19,"ошибка")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4</vt:i4>
      </vt:variant>
    </vt:vector>
  </HeadingPairs>
  <TitlesOfParts>
    <vt:vector size="10" baseType="lpstr">
      <vt:lpstr>Базис</vt:lpstr>
      <vt:lpstr>KDT2</vt:lpstr>
      <vt:lpstr>Список деталей</vt:lpstr>
      <vt:lpstr>Справочник</vt:lpstr>
      <vt:lpstr>Площадь и кромка</vt:lpstr>
      <vt:lpstr>Cuttung2</vt:lpstr>
      <vt:lpstr>кромка</vt:lpstr>
      <vt:lpstr>назКромки</vt:lpstr>
      <vt:lpstr>обозначениКромки</vt:lpstr>
      <vt:lpstr>прифуговка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Егор Пустовских</cp:lastModifiedBy>
  <dcterms:created xsi:type="dcterms:W3CDTF">2006-09-16T00:00:00Z</dcterms:created>
  <dcterms:modified xsi:type="dcterms:W3CDTF">2026-07-14T06:40:02Z</dcterms:modified>
</cp:coreProperties>
</file>